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_rels/sheet11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14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tables/table6.xml" ContentType="application/vnd.openxmlformats-officedocument.spreadsheetml.table+xml"/>
  <Override PartName="/xl/tables/table16.xml" ContentType="application/vnd.openxmlformats-officedocument.spreadsheetml.table+xml"/>
  <Override PartName="/xl/tables/table8.xml" ContentType="application/vnd.openxmlformats-officedocument.spreadsheetml.table+xml"/>
  <Override PartName="/xl/tables/table15.xml" ContentType="application/vnd.openxmlformats-officedocument.spreadsheetml.table+xml"/>
  <Override PartName="/xl/tables/table18.xml" ContentType="application/vnd.openxmlformats-officedocument.spreadsheetml.table+xml"/>
  <Override PartName="/xl/tables/table10.xml" ContentType="application/vnd.openxmlformats-officedocument.spreadsheetml.table+xml"/>
  <Override PartName="/xl/tables/table17.xml" ContentType="application/vnd.openxmlformats-officedocument.spreadsheetml.table+xml"/>
  <Override PartName="/xl/tables/table12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7.xml" ContentType="application/vnd.openxmlformats-officedocument.spreadsheetml.table+xml"/>
  <Override PartName="/xl/tables/table9.xml" ContentType="application/vnd.openxmlformats-officedocument.spreadsheetml.table+xml"/>
  <Override PartName="/xl/tables/table11.xml" ContentType="application/vnd.openxmlformats-officedocument.spreadsheetml.table+xml"/>
  <Override PartName="/xl/tables/table13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inel BI" sheetId="1" state="visible" r:id="rId3"/>
    <sheet name="Resumo Mensal" sheetId="2" state="visible" r:id="rId4"/>
    <sheet name="Base Financeira" sheetId="3" state="visible" r:id="rId5"/>
    <sheet name="Receitas BI" sheetId="4" state="visible" r:id="rId6"/>
    <sheet name="Despesas BI" sheetId="5" state="visible" r:id="rId7"/>
    <sheet name="Projeções BI" sheetId="6" state="visible" r:id="rId8"/>
    <sheet name="Legenda BI" sheetId="7" state="visible" r:id="rId9"/>
    <sheet name="Painel Fase 1" sheetId="8" state="visible" r:id="rId10"/>
    <sheet name="Projeções Fase 1" sheetId="9" state="visible" r:id="rId11"/>
    <sheet name="Base Receitas" sheetId="10" state="visible" r:id="rId12"/>
    <sheet name="Base Despesas" sheetId="11" state="visible" r:id="rId13"/>
    <sheet name="Fluxo de Caixa" sheetId="12" state="visible" r:id="rId14"/>
    <sheet name="DRE" sheetId="13" state="visible" r:id="rId15"/>
    <sheet name="Receita" sheetId="14" state="visible" r:id="rId16"/>
    <sheet name="Precificação HOJE" sheetId="15" state="visible" r:id="rId17"/>
    <sheet name="Precificação PROJETADA" sheetId="16" state="visible" r:id="rId18"/>
    <sheet name="FC 17-12-25" sheetId="17" state="visible" r:id="rId19"/>
  </sheets>
  <definedNames>
    <definedName function="false" hidden="true" name="_xleta.SUM" vbProcedure="false">none</definedName>
    <definedName function="false" hidden="true" name="_xlfn.SUMIFS" vbProcedure="false">none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29" authorId="0">
      <text>
        <r>
          <rPr>
            <sz val="10"/>
            <rFont val="Arial"/>
            <family val="2"/>
          </rPr>
          <t xml:space="preserve">Fonte interna: aba "Fluxo de Caixa", célula L6. Você pode editar este valor.</t>
        </r>
      </text>
    </comment>
    <comment ref="J8" authorId="0">
      <text>
        <r>
          <rPr>
            <sz val="10"/>
            <rFont val="Arial"/>
            <family val="2"/>
          </rPr>
          <t xml:space="preserve">Fonte interna: aba "Fluxo de Caixa", célula L6.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4" authorId="0">
      <text>
        <r>
          <rPr>
            <sz val="10"/>
            <rFont val="Arial"/>
            <family val="2"/>
          </rPr>
          <t xml:space="preserve">Premissa editável pelo usuário.</t>
        </r>
      </text>
    </comment>
    <comment ref="B5" authorId="0">
      <text>
        <r>
          <rPr>
            <sz val="10"/>
            <rFont val="Arial"/>
            <family val="2"/>
          </rPr>
          <t xml:space="preserve">Premissa editável pelo usuário.</t>
        </r>
      </text>
    </comment>
    <comment ref="B6" authorId="0">
      <text>
        <r>
          <rPr>
            <sz val="10"/>
            <rFont val="Arial"/>
            <family val="2"/>
          </rPr>
          <t xml:space="preserve">Premissa editável pelo usuário.</t>
        </r>
      </text>
    </comment>
  </commentList>
</comments>
</file>

<file path=xl/sharedStrings.xml><?xml version="1.0" encoding="utf-8"?>
<sst xmlns="http://schemas.openxmlformats.org/spreadsheetml/2006/main" count="4344" uniqueCount="626">
  <si>
    <t xml:space="preserve">BAM Financeiro | Painel Executivo</t>
  </si>
  <si>
    <t xml:space="preserve">Visual estilo BI para leitura rápida. Abas detalhadas: Base Financeira, Receitas BI, Despesas BI e Projeções BI.</t>
  </si>
  <si>
    <t xml:space="preserve">Status: Saudavel = resultado positivo | Atencao = perto do zero | Rever = resultado pressionado | Cobrar = valor em aberto</t>
  </si>
  <si>
    <t xml:space="preserve">Receita total</t>
  </si>
  <si>
    <t xml:space="preserve">Despesa total</t>
  </si>
  <si>
    <t xml:space="preserve">Resultado</t>
  </si>
  <si>
    <t xml:space="preserve">Margem</t>
  </si>
  <si>
    <t xml:space="preserve">A receber</t>
  </si>
  <si>
    <t xml:space="preserve">Break-even medio</t>
  </si>
  <si>
    <t xml:space="preserve">Caixa inicial</t>
  </si>
  <si>
    <t xml:space="preserve">Caixa projetado</t>
  </si>
  <si>
    <t xml:space="preserve">Receita x despesa por mes</t>
  </si>
  <si>
    <t xml:space="preserve">Resultado mensal</t>
  </si>
  <si>
    <t xml:space="preserve">Tabela mensal</t>
  </si>
  <si>
    <t xml:space="preserve">Resumo de cortes</t>
  </si>
  <si>
    <t xml:space="preserve">Mes</t>
  </si>
  <si>
    <t xml:space="preserve">Receita</t>
  </si>
  <si>
    <t xml:space="preserve">Despesa</t>
  </si>
  <si>
    <t xml:space="preserve">Saude</t>
  </si>
  <si>
    <t xml:space="preserve">Corte</t>
  </si>
  <si>
    <t xml:space="preserve">Economia media</t>
  </si>
  <si>
    <t xml:space="preserve">Resultado medio</t>
  </si>
  <si>
    <t xml:space="preserve">Categoria</t>
  </si>
  <si>
    <t xml:space="preserve">Total</t>
  </si>
  <si>
    <t xml:space="preserve">Janeiro</t>
  </si>
  <si>
    <t xml:space="preserve">Saudavel</t>
  </si>
  <si>
    <t xml:space="preserve">0%</t>
  </si>
  <si>
    <t xml:space="preserve">Administrativo</t>
  </si>
  <si>
    <t xml:space="preserve">Fevereiro</t>
  </si>
  <si>
    <t xml:space="preserve">5%</t>
  </si>
  <si>
    <t xml:space="preserve">Custos Fixos</t>
  </si>
  <si>
    <t xml:space="preserve">Março</t>
  </si>
  <si>
    <t xml:space="preserve">10%</t>
  </si>
  <si>
    <t xml:space="preserve">Licenças / Ferramentas</t>
  </si>
  <si>
    <t xml:space="preserve">Abril</t>
  </si>
  <si>
    <t xml:space="preserve">Rever</t>
  </si>
  <si>
    <t xml:space="preserve">15%</t>
  </si>
  <si>
    <t xml:space="preserve">Marketing / Publicidade</t>
  </si>
  <si>
    <t xml:space="preserve">Maio</t>
  </si>
  <si>
    <t xml:space="preserve">20%</t>
  </si>
  <si>
    <t xml:space="preserve">Materiais / Estrutura</t>
  </si>
  <si>
    <t xml:space="preserve">Junho</t>
  </si>
  <si>
    <t xml:space="preserve">Atencao</t>
  </si>
  <si>
    <t xml:space="preserve">Julho</t>
  </si>
  <si>
    <t xml:space="preserve">Agosto</t>
  </si>
  <si>
    <t xml:space="preserve">Setembro</t>
  </si>
  <si>
    <t xml:space="preserve">Outubro</t>
  </si>
  <si>
    <t xml:space="preserve">Novembro</t>
  </si>
  <si>
    <t xml:space="preserve">Dezembro</t>
  </si>
  <si>
    <t xml:space="preserve"> </t>
  </si>
  <si>
    <t xml:space="preserve">Base única para o painel. Receitas e despesas puxadas das abas estruturadas.</t>
  </si>
  <si>
    <t xml:space="preserve">Mês</t>
  </si>
  <si>
    <t xml:space="preserve">Receita prevista</t>
  </si>
  <si>
    <t xml:space="preserve">Despesa prevista</t>
  </si>
  <si>
    <t xml:space="preserve">Receita líquida recebida</t>
  </si>
  <si>
    <t xml:space="preserve">Saúde</t>
  </si>
  <si>
    <t xml:space="preserve">Redução 5%</t>
  </si>
  <si>
    <t xml:space="preserve">Resultado pós-corte</t>
  </si>
  <si>
    <t xml:space="preserve">Total / Média</t>
  </si>
  <si>
    <t xml:space="preserve">Categorias de despesa</t>
  </si>
  <si>
    <t xml:space="preserve">Clientes - receita total</t>
  </si>
  <si>
    <t xml:space="preserve">Peso na despesa</t>
  </si>
  <si>
    <t xml:space="preserve">Cliente</t>
  </si>
  <si>
    <t xml:space="preserve">Status base</t>
  </si>
  <si>
    <t xml:space="preserve">ADRIFER</t>
  </si>
  <si>
    <t xml:space="preserve">Agência CMA</t>
  </si>
  <si>
    <t xml:space="preserve">Atlas</t>
  </si>
  <si>
    <t xml:space="preserve">Cemitério Cantareira</t>
  </si>
  <si>
    <t xml:space="preserve">CMA - Dra Flávia</t>
  </si>
  <si>
    <t xml:space="preserve">Salários e Benefícios</t>
  </si>
  <si>
    <t xml:space="preserve">Daju Restaurante</t>
  </si>
  <si>
    <t xml:space="preserve">ELAGE AÇAI</t>
  </si>
  <si>
    <t xml:space="preserve">Eletrotec</t>
  </si>
  <si>
    <t xml:space="preserve">Fernet</t>
  </si>
  <si>
    <t xml:space="preserve">FreePort</t>
  </si>
  <si>
    <t xml:space="preserve">Granitos Moredo</t>
  </si>
  <si>
    <t xml:space="preserve">Hygge Games</t>
  </si>
  <si>
    <t xml:space="preserve">Hygge Games Intern.</t>
  </si>
  <si>
    <t xml:space="preserve">Kontainers</t>
  </si>
  <si>
    <t xml:space="preserve">Mardon Eng.Murilo</t>
  </si>
  <si>
    <t xml:space="preserve">Murilo Eng</t>
  </si>
  <si>
    <t xml:space="preserve">Planet Korea</t>
  </si>
  <si>
    <t xml:space="preserve">Promanage</t>
  </si>
  <si>
    <t xml:space="preserve">PROMPT</t>
  </si>
  <si>
    <t xml:space="preserve">Redomo Energia</t>
  </si>
  <si>
    <t xml:space="preserve">STS</t>
  </si>
  <si>
    <t xml:space="preserve">Wolf</t>
  </si>
  <si>
    <t xml:space="preserve">Tipo</t>
  </si>
  <si>
    <t xml:space="preserve">Categoria/Serviço</t>
  </si>
  <si>
    <t xml:space="preserve">Cliente/Despesa</t>
  </si>
  <si>
    <t xml:space="preserve">Valor</t>
  </si>
  <si>
    <t xml:space="preserve">Pagamento</t>
  </si>
  <si>
    <t xml:space="preserve">Status</t>
  </si>
  <si>
    <t xml:space="preserve">Dia</t>
  </si>
  <si>
    <t xml:space="preserve">Competência</t>
  </si>
  <si>
    <t xml:space="preserve">Observação</t>
  </si>
  <si>
    <t xml:space="preserve">Serviço</t>
  </si>
  <si>
    <t xml:space="preserve">Valor previsto</t>
  </si>
  <si>
    <t xml:space="preserve">Descrição</t>
  </si>
  <si>
    <t xml:space="preserve">Classificação</t>
  </si>
  <si>
    <t xml:space="preserve">Cobrança</t>
  </si>
  <si>
    <t xml:space="preserve">Condição</t>
  </si>
  <si>
    <t xml:space="preserve">Natureza</t>
  </si>
  <si>
    <t xml:space="preserve">Alerta</t>
  </si>
  <si>
    <t xml:space="preserve">Projeções e cortes</t>
  </si>
  <si>
    <t xml:space="preserve">Azul = premissas editáveis | Preto = cálculo | Use esta aba para simular crescimento e redução.</t>
  </si>
  <si>
    <t xml:space="preserve">Cenário</t>
  </si>
  <si>
    <t xml:space="preserve">Economia mensal</t>
  </si>
  <si>
    <t xml:space="preserve">Resultado médio</t>
  </si>
  <si>
    <t xml:space="preserve">Runway (meses)</t>
  </si>
  <si>
    <t xml:space="preserve">Receita média mensal</t>
  </si>
  <si>
    <t xml:space="preserve">Despesa média mensal</t>
  </si>
  <si>
    <t xml:space="preserve">Crescimento receita %</t>
  </si>
  <si>
    <t xml:space="preserve">Crescimento despesa %</t>
  </si>
  <si>
    <t xml:space="preserve">Corte padrão %</t>
  </si>
  <si>
    <t xml:space="preserve">Receita projetada</t>
  </si>
  <si>
    <t xml:space="preserve">Despesa projetada</t>
  </si>
  <si>
    <t xml:space="preserve">Despesa pós-corte</t>
  </si>
  <si>
    <t xml:space="preserve">Caixa acumulado</t>
  </si>
  <si>
    <t xml:space="preserve">Como ler o financeiro</t>
  </si>
  <si>
    <t xml:space="preserve">🟢 Saudável</t>
  </si>
  <si>
    <t xml:space="preserve">Resultado mensal positivo e operação respirando bem.</t>
  </si>
  <si>
    <t xml:space="preserve">🟡 Atenção</t>
  </si>
  <si>
    <t xml:space="preserve">Resultado perto do zero ou com pressão nos custos.</t>
  </si>
  <si>
    <t xml:space="preserve">🔴 Rever</t>
  </si>
  <si>
    <t xml:space="preserve">Despesa está pesando e vale revisar contratos, equipe ou ferramentas.</t>
  </si>
  <si>
    <t xml:space="preserve">🔔 Cobrar</t>
  </si>
  <si>
    <t xml:space="preserve">Existe valor em aberto para receber de cliente.</t>
  </si>
  <si>
    <t xml:space="preserve">Painel BI</t>
  </si>
  <si>
    <t xml:space="preserve">Visão executiva com indicadores, gráficos e leitura rápida.</t>
  </si>
  <si>
    <t xml:space="preserve">Resumo Mensal</t>
  </si>
  <si>
    <t xml:space="preserve">Base de cálculo do painel e das projeções.</t>
  </si>
  <si>
    <t xml:space="preserve">Base Financeira</t>
  </si>
  <si>
    <t xml:space="preserve">Lançamentos consolidados em um lugar só para análise futura em BI/VSCode.</t>
  </si>
  <si>
    <t xml:space="preserve">BAM Financeiro - Fase 1</t>
  </si>
  <si>
    <t xml:space="preserve">Base estruturada a partir do arquivo original. Esta fase organiza dados, KPIs mensais, despesas por categoria e cenários iniciais.</t>
  </si>
  <si>
    <t xml:space="preserve">Receita Mapeada</t>
  </si>
  <si>
    <t xml:space="preserve">Despesas Mapeadas</t>
  </si>
  <si>
    <t xml:space="preserve">A Receber</t>
  </si>
  <si>
    <t xml:space="preserve">Break-even Médio</t>
  </si>
  <si>
    <t xml:space="preserve">Caixa Inicial</t>
  </si>
  <si>
    <t xml:space="preserve">Caixa Projetado Final</t>
  </si>
  <si>
    <t xml:space="preserve">Receita (R$)</t>
  </si>
  <si>
    <t xml:space="preserve">A Receber (R$)</t>
  </si>
  <si>
    <t xml:space="preserve">Despesas (R$)</t>
  </si>
  <si>
    <t xml:space="preserve">Resultado (R$)</t>
  </si>
  <si>
    <t xml:space="preserve">Caixa Final (R$)</t>
  </si>
  <si>
    <t xml:space="preserve">Leitura</t>
  </si>
  <si>
    <t xml:space="preserve">Total (R$)</t>
  </si>
  <si>
    <t xml:space="preserve">Participação</t>
  </si>
  <si>
    <t xml:space="preserve">Treinamento / Desenvolvimento</t>
  </si>
  <si>
    <t xml:space="preserve">Cenários de redução</t>
  </si>
  <si>
    <t xml:space="preserve">Economia média/mês</t>
  </si>
  <si>
    <t xml:space="preserve">Novo resultado médio</t>
  </si>
  <si>
    <t xml:space="preserve">Total / média</t>
  </si>
  <si>
    <t xml:space="preserve">Consolidado</t>
  </si>
  <si>
    <t xml:space="preserve">Premissas rápidas</t>
  </si>
  <si>
    <t xml:space="preserve">Caixa inicial (editável)</t>
  </si>
  <si>
    <t xml:space="preserve">Despesas detalhadas disponíveis até Maio na planilha original. Jun-Dez já estão prontos para receber novos lançamentos.</t>
  </si>
  <si>
    <t xml:space="preserve">Projeções e cenários - Fase 1</t>
  </si>
  <si>
    <t xml:space="preserve">Premissas editáveis em azul. Fórmulas em preto.</t>
  </si>
  <si>
    <t xml:space="preserve">Crescimento mensal da receita</t>
  </si>
  <si>
    <t xml:space="preserve">Base média de receita</t>
  </si>
  <si>
    <t xml:space="preserve">Economia/mês</t>
  </si>
  <si>
    <t xml:space="preserve">Runway médio</t>
  </si>
  <si>
    <t xml:space="preserve">Crescimento mensal da despesa</t>
  </si>
  <si>
    <t xml:space="preserve">Base média de despesa</t>
  </si>
  <si>
    <t xml:space="preserve">Redução aplicada nas despesas</t>
  </si>
  <si>
    <t xml:space="preserve">Caixa inicial projetado</t>
  </si>
  <si>
    <t xml:space="preserve">Despesa (R$)</t>
  </si>
  <si>
    <t xml:space="preserve">Valor Previsto</t>
  </si>
  <si>
    <t xml:space="preserve">Competência A Receber</t>
  </si>
  <si>
    <t xml:space="preserve">Receita recorrente</t>
  </si>
  <si>
    <t xml:space="preserve">PIX </t>
  </si>
  <si>
    <t xml:space="preserve">contrato  </t>
  </si>
  <si>
    <t xml:space="preserve">PAGO</t>
  </si>
  <si>
    <t xml:space="preserve">Atlas </t>
  </si>
  <si>
    <t xml:space="preserve">Boleto / NF </t>
  </si>
  <si>
    <t xml:space="preserve">parcela 2/4</t>
  </si>
  <si>
    <t xml:space="preserve">parcela 1/1</t>
  </si>
  <si>
    <t xml:space="preserve">Boleto / NF</t>
  </si>
  <si>
    <t xml:space="preserve">parcela 4/6</t>
  </si>
  <si>
    <t xml:space="preserve">Kontainers </t>
  </si>
  <si>
    <t xml:space="preserve">FreePort </t>
  </si>
  <si>
    <t xml:space="preserve">PIX / NF  </t>
  </si>
  <si>
    <t xml:space="preserve">Boleto/Nf</t>
  </si>
  <si>
    <t xml:space="preserve">PARCELA 1/4</t>
  </si>
  <si>
    <t xml:space="preserve">Pix</t>
  </si>
  <si>
    <t xml:space="preserve">PENDENTE</t>
  </si>
  <si>
    <t xml:space="preserve">Hygge Games Intern. </t>
  </si>
  <si>
    <t xml:space="preserve">Invoice </t>
  </si>
  <si>
    <t xml:space="preserve">Redomo Energia </t>
  </si>
  <si>
    <t xml:space="preserve">Boleto / NF  </t>
  </si>
  <si>
    <t xml:space="preserve">parcela 3/3</t>
  </si>
  <si>
    <t xml:space="preserve">Agência CMA </t>
  </si>
  <si>
    <t xml:space="preserve">PIX / NF</t>
  </si>
  <si>
    <t xml:space="preserve">PIX</t>
  </si>
  <si>
    <t xml:space="preserve">PIX  / NF </t>
  </si>
  <si>
    <t xml:space="preserve">parcela 4/12</t>
  </si>
  <si>
    <t xml:space="preserve">PIX /  NF</t>
  </si>
  <si>
    <t xml:space="preserve">parcela 1/6</t>
  </si>
  <si>
    <t xml:space="preserve">Hygge Games </t>
  </si>
  <si>
    <t xml:space="preserve">STS </t>
  </si>
  <si>
    <t xml:space="preserve">Cemitério Cantareira </t>
  </si>
  <si>
    <t xml:space="preserve">Boleto</t>
  </si>
  <si>
    <t xml:space="preserve">Daju Restaurante </t>
  </si>
  <si>
    <t xml:space="preserve">parcela 3/4</t>
  </si>
  <si>
    <t xml:space="preserve">Produto Adicional</t>
  </si>
  <si>
    <t xml:space="preserve">parcela 1/3</t>
  </si>
  <si>
    <t xml:space="preserve">parcela 5/6</t>
  </si>
  <si>
    <t xml:space="preserve">PARCELA 2/4</t>
  </si>
  <si>
    <t xml:space="preserve">parcela 2/6</t>
  </si>
  <si>
    <t xml:space="preserve">parcela 4/4</t>
  </si>
  <si>
    <t xml:space="preserve">parcela 2/3</t>
  </si>
  <si>
    <t xml:space="preserve">parcela 6/6</t>
  </si>
  <si>
    <t xml:space="preserve">PARCELA 3/4</t>
  </si>
  <si>
    <t xml:space="preserve">parcela 3/6</t>
  </si>
  <si>
    <t xml:space="preserve">Gestor de Tráfego - Eduardo Alves</t>
  </si>
  <si>
    <t xml:space="preserve">VT Eduardo</t>
  </si>
  <si>
    <t xml:space="preserve">Estagiária de Marketing - Thais</t>
  </si>
  <si>
    <t xml:space="preserve">Designer Pleno - Welesson</t>
  </si>
  <si>
    <t xml:space="preserve">Designer Junior - Mateus</t>
  </si>
  <si>
    <t xml:space="preserve">Programador - Luan</t>
  </si>
  <si>
    <t xml:space="preserve">Vendedor - Patrik</t>
  </si>
  <si>
    <t xml:space="preserve">Gestor - Felipe</t>
  </si>
  <si>
    <t xml:space="preserve">Programador - Ferrari</t>
  </si>
  <si>
    <t xml:space="preserve">VT Thais</t>
  </si>
  <si>
    <t xml:space="preserve">VT Patrick OFICIAL</t>
  </si>
  <si>
    <t xml:space="preserve">Google Cloud</t>
  </si>
  <si>
    <t xml:space="preserve">Gsuite Bamasses</t>
  </si>
  <si>
    <t xml:space="preserve">Google One</t>
  </si>
  <si>
    <t xml:space="preserve">Fluterflow</t>
  </si>
  <si>
    <t xml:space="preserve">Adobe</t>
  </si>
  <si>
    <t xml:space="preserve">Apple bill</t>
  </si>
  <si>
    <t xml:space="preserve">Dropbox</t>
  </si>
  <si>
    <t xml:space="preserve">Elfsight</t>
  </si>
  <si>
    <t xml:space="preserve">Monday</t>
  </si>
  <si>
    <t xml:space="preserve">Canva</t>
  </si>
  <si>
    <t xml:space="preserve">Chat GPT</t>
  </si>
  <si>
    <t xml:space="preserve">Servidor</t>
  </si>
  <si>
    <t xml:space="preserve">Meta Ads - Anúncio</t>
  </si>
  <si>
    <t xml:space="preserve">Google Ads</t>
  </si>
  <si>
    <t xml:space="preserve">Computador 12 parcelas</t>
  </si>
  <si>
    <t xml:space="preserve">11° PARCELA</t>
  </si>
  <si>
    <t xml:space="preserve">12° PARCELA</t>
  </si>
  <si>
    <t xml:space="preserve">Aluguel</t>
  </si>
  <si>
    <t xml:space="preserve">À VISTA</t>
  </si>
  <si>
    <t xml:space="preserve">Água</t>
  </si>
  <si>
    <t xml:space="preserve">Luz</t>
  </si>
  <si>
    <t xml:space="preserve">Internet</t>
  </si>
  <si>
    <t xml:space="preserve">5 10 13</t>
  </si>
  <si>
    <t xml:space="preserve">Convivência / Faxina</t>
  </si>
  <si>
    <t xml:space="preserve">Impostos e Taxas</t>
  </si>
  <si>
    <t xml:space="preserve">Medicina do trabalho</t>
  </si>
  <si>
    <t xml:space="preserve">FLUXO DE CAIXA </t>
  </si>
  <si>
    <t xml:space="preserve">FLUXO DE CAIXA</t>
  </si>
  <si>
    <t xml:space="preserve">data</t>
  </si>
  <si>
    <t xml:space="preserve">mês                 </t>
  </si>
  <si>
    <t xml:space="preserve">tipo</t>
  </si>
  <si>
    <t xml:space="preserve">descrição </t>
  </si>
  <si>
    <t xml:space="preserve">valor </t>
  </si>
  <si>
    <t xml:space="preserve">pagamento </t>
  </si>
  <si>
    <t xml:space="preserve">competência </t>
  </si>
  <si>
    <t xml:space="preserve">Período </t>
  </si>
  <si>
    <t xml:space="preserve">Caixa Inicial </t>
  </si>
  <si>
    <t xml:space="preserve">Entrada </t>
  </si>
  <si>
    <t xml:space="preserve">Saída </t>
  </si>
  <si>
    <t xml:space="preserve">Crescimento </t>
  </si>
  <si>
    <t xml:space="preserve">Caixa final </t>
  </si>
  <si>
    <t xml:space="preserve">Janeiro </t>
  </si>
  <si>
    <t xml:space="preserve">CAIXA </t>
  </si>
  <si>
    <t xml:space="preserve">Entradas </t>
  </si>
  <si>
    <t xml:space="preserve">Receitas recorrentes </t>
  </si>
  <si>
    <t xml:space="preserve">Produtos adicionais </t>
  </si>
  <si>
    <t xml:space="preserve">Saídas </t>
  </si>
  <si>
    <t xml:space="preserve">Aluguel </t>
  </si>
  <si>
    <t xml:space="preserve">Água </t>
  </si>
  <si>
    <t xml:space="preserve">ENEL</t>
  </si>
  <si>
    <t xml:space="preserve">Internet </t>
  </si>
  <si>
    <t xml:space="preserve">Limpeza/custo interno </t>
  </si>
  <si>
    <t xml:space="preserve">Impostos e taxas </t>
  </si>
  <si>
    <t xml:space="preserve">Licenças e ferramentas </t>
  </si>
  <si>
    <t xml:space="preserve">Salários operação</t>
  </si>
  <si>
    <t xml:space="preserve">Salários sócios </t>
  </si>
  <si>
    <t xml:space="preserve">Custo Operacional</t>
  </si>
  <si>
    <t xml:space="preserve">DRE 2025 - EM REAIS </t>
  </si>
  <si>
    <t xml:space="preserve">(=) Receita Bruta </t>
  </si>
  <si>
    <t xml:space="preserve">Receita total (carteira total)</t>
  </si>
  <si>
    <t xml:space="preserve">Porjetos adicionais </t>
  </si>
  <si>
    <t xml:space="preserve">(-) Impostos s/ vendas</t>
  </si>
  <si>
    <t xml:space="preserve">(=) Receita Líquida </t>
  </si>
  <si>
    <t xml:space="preserve">(-) Custos Fixos de estrutura  </t>
  </si>
  <si>
    <t xml:space="preserve">(-) Custos operacionais  </t>
  </si>
  <si>
    <t xml:space="preserve">Custo operacional</t>
  </si>
  <si>
    <t xml:space="preserve">(=) Lucro Líquido </t>
  </si>
  <si>
    <t xml:space="preserve">FLUXO DE CAIXA 2025</t>
  </si>
  <si>
    <t xml:space="preserve">BALANÇO MENSAL SIMPLES</t>
  </si>
  <si>
    <t xml:space="preserve">Junho </t>
  </si>
  <si>
    <t xml:space="preserve">Ativo </t>
  </si>
  <si>
    <t xml:space="preserve">Caixa </t>
  </si>
  <si>
    <t xml:space="preserve">Contas a receber </t>
  </si>
  <si>
    <t xml:space="preserve">Passivo </t>
  </si>
  <si>
    <t xml:space="preserve">Salários </t>
  </si>
  <si>
    <t xml:space="preserve">Assinaturas</t>
  </si>
  <si>
    <t xml:space="preserve">Impostos </t>
  </si>
  <si>
    <t xml:space="preserve">Custo fixo</t>
  </si>
  <si>
    <t xml:space="preserve">Patrimonio Líquido </t>
  </si>
  <si>
    <t xml:space="preserve">Lucros acumulados</t>
  </si>
  <si>
    <t xml:space="preserve">INDICADORES FINANCEIROS </t>
  </si>
  <si>
    <t xml:space="preserve">Fevereiro </t>
  </si>
  <si>
    <t xml:space="preserve">Março </t>
  </si>
  <si>
    <t xml:space="preserve">Abril </t>
  </si>
  <si>
    <t xml:space="preserve">Maio </t>
  </si>
  <si>
    <t xml:space="preserve">Receita recorrente </t>
  </si>
  <si>
    <t xml:space="preserve">Projetos adicionais </t>
  </si>
  <si>
    <t xml:space="preserve">Crescimento MoM</t>
  </si>
  <si>
    <t xml:space="preserve">ARPC (ticket médio)</t>
  </si>
  <si>
    <t xml:space="preserve">Margem bruta </t>
  </si>
  <si>
    <t xml:space="preserve">Margem EBITDA</t>
  </si>
  <si>
    <t xml:space="preserve">Receita por colaborador </t>
  </si>
  <si>
    <t xml:space="preserve">DSO (dias)</t>
  </si>
  <si>
    <t xml:space="preserve">OCF </t>
  </si>
  <si>
    <t xml:space="preserve">FCF </t>
  </si>
  <si>
    <t xml:space="preserve">Churn de clientes </t>
  </si>
  <si>
    <t xml:space="preserve">LTV</t>
  </si>
  <si>
    <t xml:space="preserve">CAC</t>
  </si>
  <si>
    <t xml:space="preserve">PREVISÃO DA RECEITA 2025</t>
  </si>
  <si>
    <t xml:space="preserve">Coluna1</t>
  </si>
  <si>
    <t xml:space="preserve">Coluna2</t>
  </si>
  <si>
    <t xml:space="preserve">Coluna3</t>
  </si>
  <si>
    <t xml:space="preserve">Coluna4</t>
  </si>
  <si>
    <t xml:space="preserve">Coluna5</t>
  </si>
  <si>
    <t xml:space="preserve">Coluna6</t>
  </si>
  <si>
    <t xml:space="preserve">Coluna7</t>
  </si>
  <si>
    <t xml:space="preserve">Coluna8</t>
  </si>
  <si>
    <t xml:space="preserve">Coluna9</t>
  </si>
  <si>
    <t xml:space="preserve">Coluna10</t>
  </si>
  <si>
    <t xml:space="preserve">Coluna11</t>
  </si>
  <si>
    <t xml:space="preserve">Coluna12</t>
  </si>
  <si>
    <t xml:space="preserve">Coluna13</t>
  </si>
  <si>
    <t xml:space="preserve">Coluna14</t>
  </si>
  <si>
    <t xml:space="preserve">Coluna15</t>
  </si>
  <si>
    <t xml:space="preserve">Coluna16</t>
  </si>
  <si>
    <t xml:space="preserve">Coluna17</t>
  </si>
  <si>
    <t xml:space="preserve">Coluna18</t>
  </si>
  <si>
    <t xml:space="preserve">Coluna19</t>
  </si>
  <si>
    <t xml:space="preserve">Coluna20</t>
  </si>
  <si>
    <t xml:space="preserve">Coluna21</t>
  </si>
  <si>
    <t xml:space="preserve">Coluna22</t>
  </si>
  <si>
    <t xml:space="preserve">Coluna23</t>
  </si>
  <si>
    <t xml:space="preserve">Coluna24</t>
  </si>
  <si>
    <t xml:space="preserve">Coluna25</t>
  </si>
  <si>
    <t xml:space="preserve">Coluna26</t>
  </si>
  <si>
    <t xml:space="preserve">Coluna27</t>
  </si>
  <si>
    <t xml:space="preserve">Coluna28</t>
  </si>
  <si>
    <t xml:space="preserve">Coluna29</t>
  </si>
  <si>
    <t xml:space="preserve">Coluna30</t>
  </si>
  <si>
    <t xml:space="preserve">Coluna31</t>
  </si>
  <si>
    <t xml:space="preserve">mês</t>
  </si>
  <si>
    <t xml:space="preserve">Cliente </t>
  </si>
  <si>
    <t xml:space="preserve">Pagamento </t>
  </si>
  <si>
    <t xml:space="preserve">Data </t>
  </si>
  <si>
    <t xml:space="preserve">Valor </t>
  </si>
  <si>
    <t xml:space="preserve">Descrição </t>
  </si>
  <si>
    <t xml:space="preserve">A Receber </t>
  </si>
  <si>
    <t xml:space="preserve">Competência2</t>
  </si>
  <si>
    <t xml:space="preserve">PROVISÃO DE DESPESAS 2025</t>
  </si>
  <si>
    <t xml:space="preserve">Data</t>
  </si>
  <si>
    <t xml:space="preserve">Custos Operacionais</t>
  </si>
  <si>
    <t xml:space="preserve">Salários e Benefícios </t>
  </si>
  <si>
    <t xml:space="preserve">Gestor de Tráfego - Eduardo Alves </t>
  </si>
  <si>
    <t xml:space="preserve">VR Eduardo</t>
  </si>
  <si>
    <t xml:space="preserve">Designer Pleno - Welesson </t>
  </si>
  <si>
    <t xml:space="preserve">Designer Junior - Mateus  </t>
  </si>
  <si>
    <t xml:space="preserve">Programador - Luan </t>
  </si>
  <si>
    <t xml:space="preserve">VT Patrick</t>
  </si>
  <si>
    <t xml:space="preserve">VR PATRICK</t>
  </si>
  <si>
    <t xml:space="preserve">VR felipe</t>
  </si>
  <si>
    <t xml:space="preserve">Vt Felipe</t>
  </si>
  <si>
    <t xml:space="preserve">Gestor - Felipe </t>
  </si>
  <si>
    <t xml:space="preserve">Vr Ferrari</t>
  </si>
  <si>
    <t xml:space="preserve">VT Thais </t>
  </si>
  <si>
    <t xml:space="preserve">VR Luan</t>
  </si>
  <si>
    <t xml:space="preserve">VT Luan</t>
  </si>
  <si>
    <t xml:space="preserve">Lucca</t>
  </si>
  <si>
    <t xml:space="preserve">TOTAL JANEIRO</t>
  </si>
  <si>
    <t xml:space="preserve">Natan</t>
  </si>
  <si>
    <t xml:space="preserve">Leo</t>
  </si>
  <si>
    <t xml:space="preserve">Licenças / Ferramentas </t>
  </si>
  <si>
    <t xml:space="preserve">Google Cloud </t>
  </si>
  <si>
    <t xml:space="preserve">Gsuite Bamasses </t>
  </si>
  <si>
    <t xml:space="preserve">Fluterflow </t>
  </si>
  <si>
    <t xml:space="preserve">Adobe </t>
  </si>
  <si>
    <t xml:space="preserve">Apple bill </t>
  </si>
  <si>
    <t xml:space="preserve">Dropbox </t>
  </si>
  <si>
    <t xml:space="preserve">Elfsight </t>
  </si>
  <si>
    <t xml:space="preserve">Monday </t>
  </si>
  <si>
    <t xml:space="preserve">Canva </t>
  </si>
  <si>
    <t xml:space="preserve">Chat GPT </t>
  </si>
  <si>
    <t xml:space="preserve">Linkedin</t>
  </si>
  <si>
    <t xml:space="preserve">Servidor </t>
  </si>
  <si>
    <t xml:space="preserve">Marketing / Publicidade </t>
  </si>
  <si>
    <t xml:space="preserve">Feira</t>
  </si>
  <si>
    <t xml:space="preserve">Google Ads </t>
  </si>
  <si>
    <t xml:space="preserve">Materiais / Estrutura </t>
  </si>
  <si>
    <t xml:space="preserve">Uniforme BAM 3 parcelas </t>
  </si>
  <si>
    <t xml:space="preserve">Curso Welesson 10 parcelas </t>
  </si>
  <si>
    <t xml:space="preserve">TOTAL FEVEREIRO</t>
  </si>
  <si>
    <t xml:space="preserve">Custos Fixos </t>
  </si>
  <si>
    <t xml:space="preserve">IPTU </t>
  </si>
  <si>
    <t xml:space="preserve">Luz </t>
  </si>
  <si>
    <t xml:space="preserve">Convivência / Faxina </t>
  </si>
  <si>
    <t xml:space="preserve">Impostos e Taxas </t>
  </si>
  <si>
    <t xml:space="preserve">Medicina do trabalho </t>
  </si>
  <si>
    <t xml:space="preserve">TOTAL DESPESAS </t>
  </si>
  <si>
    <t xml:space="preserve">TOTAL RECEITA</t>
  </si>
  <si>
    <t xml:space="preserve">RESULTADO</t>
  </si>
  <si>
    <t xml:space="preserve">LISTA DE PAGAMENTOS</t>
  </si>
  <si>
    <t xml:space="preserve">Pix / NF</t>
  </si>
  <si>
    <t xml:space="preserve">BOLETO / NF</t>
  </si>
  <si>
    <t xml:space="preserve">Invoice</t>
  </si>
  <si>
    <t xml:space="preserve">Invoice / NF</t>
  </si>
  <si>
    <t xml:space="preserve">LISTA DE STATUS</t>
  </si>
  <si>
    <t xml:space="preserve">INADIMPLENTE </t>
  </si>
  <si>
    <t xml:space="preserve">TOTAL MARÇO</t>
  </si>
  <si>
    <t xml:space="preserve">LISTA DE CONDIÇÃO</t>
  </si>
  <si>
    <t xml:space="preserve">1° PARCELA</t>
  </si>
  <si>
    <t xml:space="preserve">2° PARCELA </t>
  </si>
  <si>
    <t xml:space="preserve">3° PARCELA</t>
  </si>
  <si>
    <t xml:space="preserve">4° PARCELA</t>
  </si>
  <si>
    <t xml:space="preserve">5° PARCELA</t>
  </si>
  <si>
    <t xml:space="preserve">6° PARCELA</t>
  </si>
  <si>
    <t xml:space="preserve">7° PARCELA</t>
  </si>
  <si>
    <t xml:space="preserve">8° PARCELA </t>
  </si>
  <si>
    <t xml:space="preserve">9° PARCELA</t>
  </si>
  <si>
    <t xml:space="preserve">10° PARCELA</t>
  </si>
  <si>
    <t xml:space="preserve">LISTA DE COMPETÊNCIA</t>
  </si>
  <si>
    <t xml:space="preserve">TOTAL ABRIL</t>
  </si>
  <si>
    <t xml:space="preserve">TOTAL MAIO</t>
  </si>
  <si>
    <t xml:space="preserve">TOTAL JUNHO</t>
  </si>
  <si>
    <t xml:space="preserve">TOTAL JULHO</t>
  </si>
  <si>
    <t xml:space="preserve">TOTAL AGOSTO</t>
  </si>
  <si>
    <t xml:space="preserve">TOTAL SETEMBRO</t>
  </si>
  <si>
    <t xml:space="preserve">TOTAL OUTUBRO</t>
  </si>
  <si>
    <t xml:space="preserve">TOTAL NOVEMBRO</t>
  </si>
  <si>
    <t xml:space="preserve">TOTAL DEZEMBRO</t>
  </si>
  <si>
    <t xml:space="preserve">Contagem de clientes</t>
  </si>
  <si>
    <t xml:space="preserve">Novembro </t>
  </si>
  <si>
    <t xml:space="preserve">gestão de cont</t>
  </si>
  <si>
    <t xml:space="preserve">TOTAL</t>
  </si>
  <si>
    <t xml:space="preserve">Horas trabalhadas cada funcionário/mensal</t>
  </si>
  <si>
    <t xml:space="preserve">Salários</t>
  </si>
  <si>
    <t xml:space="preserve">Horas trabalhadas cada funcionário/ Conteúdo</t>
  </si>
  <si>
    <t xml:space="preserve">Horas trabalhadas cada funcionário/ Tráfego</t>
  </si>
  <si>
    <t xml:space="preserve">tráfego</t>
  </si>
  <si>
    <t xml:space="preserve">Felipe</t>
  </si>
  <si>
    <t xml:space="preserve">Custo Operacional - HOJE</t>
  </si>
  <si>
    <t xml:space="preserve">Thais</t>
  </si>
  <si>
    <t xml:space="preserve">Riklog</t>
  </si>
  <si>
    <t xml:space="preserve">Gestão de Conteúdos</t>
  </si>
  <si>
    <t xml:space="preserve">Edu</t>
  </si>
  <si>
    <t xml:space="preserve">Gestão de tráfego pago</t>
  </si>
  <si>
    <t xml:space="preserve">Produtos Adicionais (estimado)</t>
  </si>
  <si>
    <t xml:space="preserve">Welesson</t>
  </si>
  <si>
    <t xml:space="preserve">Sites complexos (estimado)</t>
  </si>
  <si>
    <t xml:space="preserve">Matheus</t>
  </si>
  <si>
    <t xml:space="preserve">Custo Total/HOJE</t>
  </si>
  <si>
    <t xml:space="preserve">MGL</t>
  </si>
  <si>
    <t xml:space="preserve">CMA - Clínica NOVU</t>
  </si>
  <si>
    <t xml:space="preserve">Produtos Adicionais</t>
  </si>
  <si>
    <t xml:space="preserve">CMA - Dr Sérgio</t>
  </si>
  <si>
    <t xml:space="preserve">Sites complexos</t>
  </si>
  <si>
    <t xml:space="preserve">Custos T.I MENSAL</t>
  </si>
  <si>
    <t xml:space="preserve">VT Felipe</t>
  </si>
  <si>
    <t xml:space="preserve">Custo Semestral</t>
  </si>
  <si>
    <t xml:space="preserve">CMA -  ADV MAG</t>
  </si>
  <si>
    <t xml:space="preserve">Tabela de Preços</t>
  </si>
  <si>
    <t xml:space="preserve">CMA -  ATTIC</t>
  </si>
  <si>
    <t xml:space="preserve">Gestão de Conteúdos Até 10</t>
  </si>
  <si>
    <t xml:space="preserve">CMA - CAMILA</t>
  </si>
  <si>
    <t xml:space="preserve">Gestão de Conteúdos Até 20 (Aqui é obritgatório um filmaker, já está incluso nesse valor)</t>
  </si>
  <si>
    <t xml:space="preserve">CMA - NOVU</t>
  </si>
  <si>
    <t xml:space="preserve">CMA - DORA</t>
  </si>
  <si>
    <t xml:space="preserve">Gestão de tráfego pago 2 canais</t>
  </si>
  <si>
    <t xml:space="preserve">CMA - FAZENDA</t>
  </si>
  <si>
    <t xml:space="preserve">Gestão de tráfego pago 3 canais</t>
  </si>
  <si>
    <t xml:space="preserve">CMA - GABARITO</t>
  </si>
  <si>
    <t xml:space="preserve">Para cada canal adicional</t>
  </si>
  <si>
    <t xml:space="preserve">CMA - KAMILA</t>
  </si>
  <si>
    <t xml:space="preserve">Apr Comerical Até 10 pág</t>
  </si>
  <si>
    <t xml:space="preserve">CMA - SUNNY</t>
  </si>
  <si>
    <t xml:space="preserve">Apr Comerical Até 20 pág</t>
  </si>
  <si>
    <t xml:space="preserve">Landing Page</t>
  </si>
  <si>
    <t xml:space="preserve">Site Institucional (5 ABAS)</t>
  </si>
  <si>
    <t xml:space="preserve">Banner</t>
  </si>
  <si>
    <t xml:space="preserve">Flyer</t>
  </si>
  <si>
    <t xml:space="preserve">Book de Marca (Sem aplicação)</t>
  </si>
  <si>
    <t xml:space="preserve">Book de Marca (Até 3 aplicações)</t>
  </si>
  <si>
    <t xml:space="preserve">Custo Operacional - projetado</t>
  </si>
  <si>
    <t xml:space="preserve">Custo Total/PROJETADO</t>
  </si>
  <si>
    <t xml:space="preserve">Custo por cliente</t>
  </si>
  <si>
    <t xml:space="preserve">trafego</t>
  </si>
  <si>
    <t xml:space="preserve">gestão de conteúdo</t>
  </si>
  <si>
    <t xml:space="preserve">trafego pago</t>
  </si>
  <si>
    <t xml:space="preserve">Emailmarketing </t>
  </si>
  <si>
    <t xml:space="preserve">Linkedin Ads</t>
  </si>
  <si>
    <t xml:space="preserve">maio </t>
  </si>
  <si>
    <t xml:space="preserve">Fichps Asa Norte </t>
  </si>
  <si>
    <t xml:space="preserve">Boleto </t>
  </si>
  <si>
    <t xml:space="preserve">Biosensu </t>
  </si>
  <si>
    <t xml:space="preserve">Hygge Games Internacional </t>
  </si>
  <si>
    <t xml:space="preserve">Salário </t>
  </si>
  <si>
    <t xml:space="preserve">Ingrid </t>
  </si>
  <si>
    <t xml:space="preserve">Licenças/Ferramentas</t>
  </si>
  <si>
    <t xml:space="preserve">Servidor Google </t>
  </si>
  <si>
    <t xml:space="preserve">Das-Nacional </t>
  </si>
  <si>
    <t xml:space="preserve">Custo fixo </t>
  </si>
  <si>
    <t xml:space="preserve">William</t>
  </si>
  <si>
    <t xml:space="preserve">Faxina </t>
  </si>
  <si>
    <t xml:space="preserve">Custo operacional </t>
  </si>
  <si>
    <t xml:space="preserve">Contrato BAM </t>
  </si>
  <si>
    <t xml:space="preserve">Eduardo Alves</t>
  </si>
  <si>
    <t xml:space="preserve">Welesson </t>
  </si>
  <si>
    <t xml:space="preserve">Salários / Benefícios </t>
  </si>
  <si>
    <t xml:space="preserve">VT Lucca</t>
  </si>
  <si>
    <t xml:space="preserve">William (4 dias)</t>
  </si>
  <si>
    <t xml:space="preserve">Custos fixos </t>
  </si>
  <si>
    <t xml:space="preserve">RFL Elétrica </t>
  </si>
  <si>
    <t xml:space="preserve">99 de Pot </t>
  </si>
  <si>
    <t xml:space="preserve">Custos operacionais </t>
  </si>
  <si>
    <t xml:space="preserve">Segurança </t>
  </si>
  <si>
    <t xml:space="preserve">Faby Assessoria </t>
  </si>
  <si>
    <t xml:space="preserve">Luan </t>
  </si>
  <si>
    <t xml:space="preserve">Embraloc </t>
  </si>
  <si>
    <t xml:space="preserve">Produto adicional </t>
  </si>
  <si>
    <t xml:space="preserve">Eccho Cup</t>
  </si>
  <si>
    <t xml:space="preserve">ENEL </t>
  </si>
  <si>
    <t xml:space="preserve">Milena </t>
  </si>
  <si>
    <t xml:space="preserve">Rabo de Galo </t>
  </si>
  <si>
    <t xml:space="preserve">Assinaturas </t>
  </si>
  <si>
    <t xml:space="preserve">Cartão</t>
  </si>
  <si>
    <t xml:space="preserve">Bigode </t>
  </si>
  <si>
    <t xml:space="preserve">STS Soluções </t>
  </si>
  <si>
    <t xml:space="preserve">junho</t>
  </si>
  <si>
    <t xml:space="preserve">Salário</t>
  </si>
  <si>
    <t xml:space="preserve">Natan </t>
  </si>
  <si>
    <t xml:space="preserve">junho </t>
  </si>
  <si>
    <t xml:space="preserve">Tiago Morgado </t>
  </si>
  <si>
    <t xml:space="preserve">André Conatbilidade </t>
  </si>
  <si>
    <t xml:space="preserve">Fichips SBC</t>
  </si>
  <si>
    <t xml:space="preserve">Buffet Estrelato </t>
  </si>
  <si>
    <t xml:space="preserve">Mateus Souza </t>
  </si>
  <si>
    <t xml:space="preserve">Custo Fixo </t>
  </si>
  <si>
    <t xml:space="preserve">Convivência</t>
  </si>
  <si>
    <t xml:space="preserve">Estrutura (móvel)</t>
  </si>
  <si>
    <t xml:space="preserve">Vinto </t>
  </si>
  <si>
    <t xml:space="preserve">Lucca Almeida</t>
  </si>
  <si>
    <t xml:space="preserve">Patrick</t>
  </si>
  <si>
    <t xml:space="preserve">Chave</t>
  </si>
  <si>
    <t xml:space="preserve">Felipe Munhoz</t>
  </si>
  <si>
    <t xml:space="preserve">Cantareira</t>
  </si>
  <si>
    <t xml:space="preserve">julho</t>
  </si>
  <si>
    <t xml:space="preserve">chave e cartões</t>
  </si>
  <si>
    <t xml:space="preserve">julho </t>
  </si>
  <si>
    <t xml:space="preserve">RIK LOG</t>
  </si>
  <si>
    <t xml:space="preserve">Taxa Prefeitura </t>
  </si>
  <si>
    <t xml:space="preserve">Seguro Estagiária</t>
  </si>
  <si>
    <t xml:space="preserve">Thais </t>
  </si>
  <si>
    <t xml:space="preserve">Lalamove Hygge Games </t>
  </si>
  <si>
    <t xml:space="preserve">Concerto Banheiro</t>
  </si>
  <si>
    <t xml:space="preserve">Patrick (+ comissão)</t>
  </si>
  <si>
    <t xml:space="preserve">agosto</t>
  </si>
  <si>
    <t xml:space="preserve">cópia chaves </t>
  </si>
  <si>
    <t xml:space="preserve">Hygge Games - ação de marca</t>
  </si>
  <si>
    <t xml:space="preserve">Thais VT</t>
  </si>
  <si>
    <t xml:space="preserve">Fotografia ação de marca hygge</t>
  </si>
  <si>
    <t xml:space="preserve">13/008/2025</t>
  </si>
  <si>
    <t xml:space="preserve">agosto </t>
  </si>
  <si>
    <t xml:space="preserve">Anúncio Google - BAM</t>
  </si>
  <si>
    <t xml:space="preserve">Rick Barbosa - Roda Mil</t>
  </si>
  <si>
    <t xml:space="preserve">cartão</t>
  </si>
  <si>
    <t xml:space="preserve">lalamove gymbal Moredo</t>
  </si>
  <si>
    <t xml:space="preserve">Segurança (agosto/setembro)</t>
  </si>
  <si>
    <t xml:space="preserve">Logo</t>
  </si>
  <si>
    <t xml:space="preserve">setembro</t>
  </si>
  <si>
    <t xml:space="preserve">Salário operação</t>
  </si>
  <si>
    <t xml:space="preserve">Thais VT </t>
  </si>
  <si>
    <t xml:space="preserve">Fatura</t>
  </si>
  <si>
    <t xml:space="preserve">Ingresso Feira Moredo</t>
  </si>
  <si>
    <t xml:space="preserve">Custo interno</t>
  </si>
  <si>
    <t xml:space="preserve">Medicina </t>
  </si>
  <si>
    <t xml:space="preserve">Facebook</t>
  </si>
  <si>
    <t xml:space="preserve">Impostos e taxas</t>
  </si>
  <si>
    <t xml:space="preserve">Marketing/produtos adicionais </t>
  </si>
  <si>
    <t xml:space="preserve">Uniforme BAM</t>
  </si>
  <si>
    <t xml:space="preserve">Matheus Ferrari </t>
  </si>
  <si>
    <t xml:space="preserve">Patrick </t>
  </si>
  <si>
    <t xml:space="preserve">Dra Flávia CMA</t>
  </si>
  <si>
    <t xml:space="preserve">outubro</t>
  </si>
  <si>
    <t xml:space="preserve">Advogado - Marca BAM</t>
  </si>
  <si>
    <t xml:space="preserve">Microfone</t>
  </si>
  <si>
    <t xml:space="preserve">ELETROTEC</t>
  </si>
  <si>
    <t xml:space="preserve">Patrick ( comissão )</t>
  </si>
  <si>
    <t xml:space="preserve">Kalunga</t>
  </si>
  <si>
    <t xml:space="preserve">convivência </t>
  </si>
  <si>
    <t xml:space="preserve">Happy Hour </t>
  </si>
  <si>
    <t xml:space="preserve">Salário sócios </t>
  </si>
  <si>
    <t xml:space="preserve">Leonardo </t>
  </si>
  <si>
    <t xml:space="preserve">Consultoria Google Ads</t>
  </si>
  <si>
    <t xml:space="preserve">Dr Sérgio CMA</t>
  </si>
  <si>
    <t xml:space="preserve">novembro</t>
  </si>
  <si>
    <t xml:space="preserve">novembro </t>
  </si>
  <si>
    <t xml:space="preserve">Clínica NOVU CMA</t>
  </si>
  <si>
    <t xml:space="preserve">Promanage </t>
  </si>
  <si>
    <t xml:space="preserve">Comissão Patrick (Atlas e Promanage)</t>
  </si>
  <si>
    <t xml:space="preserve">1/2 BW Academia </t>
  </si>
  <si>
    <t xml:space="preserve">1/2 Fotografia BW Academia</t>
  </si>
  <si>
    <t xml:space="preserve">2/2 BW Aademia</t>
  </si>
  <si>
    <t xml:space="preserve">2/2 Fotografia BW Academia</t>
  </si>
  <si>
    <t xml:space="preserve">Segurança</t>
  </si>
  <si>
    <t xml:space="preserve">dezembro</t>
  </si>
  <si>
    <t xml:space="preserve">Repasse de Domínio Atlas </t>
  </si>
  <si>
    <t xml:space="preserve">Ação Natal Hygge </t>
  </si>
  <si>
    <t xml:space="preserve">Comissão Patrick </t>
  </si>
  <si>
    <t xml:space="preserve">Ação Natal Hygge - Fotógrafo</t>
  </si>
  <si>
    <t xml:space="preserve">10/12/202</t>
  </si>
</sst>
</file>

<file path=xl/styles.xml><?xml version="1.0" encoding="utf-8"?>
<styleSheet xmlns="http://schemas.openxmlformats.org/spreadsheetml/2006/main">
  <numFmts count="24">
    <numFmt numFmtId="164" formatCode="General"/>
    <numFmt numFmtId="165" formatCode="_(* #,##0.00_);_(* \(#,##0.00\);_(* \-??_);_(@_)"/>
    <numFmt numFmtId="166" formatCode="_(* #,##0_);_(* \(#,##0\);_(* \-_);_(@_)"/>
    <numFmt numFmtId="167" formatCode="_-&quot;R$ &quot;* #,##0.00_-;&quot;-R$ &quot;* #,##0.00_-;_-&quot;R$ &quot;* \-??_-;_-@_-"/>
    <numFmt numFmtId="168" formatCode="_(&quot;R$ &quot;* #,##0_);_(&quot;R$ &quot;* \(#,##0\);_(&quot;R$ &quot;* \-_);_(@_)"/>
    <numFmt numFmtId="169" formatCode="0%"/>
    <numFmt numFmtId="170" formatCode="&quot;R$ &quot;#,##0.00;[RED]&quot;(R$ &quot;#,##0.00\);\-"/>
    <numFmt numFmtId="171" formatCode="0.0%"/>
    <numFmt numFmtId="172" formatCode="mmm/yy"/>
    <numFmt numFmtId="173" formatCode="0.0"/>
    <numFmt numFmtId="174" formatCode="#,##0.00;[RED]\(#,##0.00\);\-"/>
    <numFmt numFmtId="175" formatCode="0.0%;[RED]\(0.0%\);\-"/>
    <numFmt numFmtId="176" formatCode="0.0\x"/>
    <numFmt numFmtId="177" formatCode="m/d/yyyy"/>
    <numFmt numFmtId="178" formatCode="&quot;R$ &quot;#,##0;[RED]&quot;-R$ &quot;#,##0"/>
    <numFmt numFmtId="179" formatCode="&quot;R$ &quot;#,##0.00"/>
    <numFmt numFmtId="180" formatCode="mmm\-yy"/>
    <numFmt numFmtId="181" formatCode="_-[$R$-416]\ * #,##0.00_-;\-[$R$-416]\ * #,##0.00_-;_-[$R$-416]\ * \-??_-;_-@_-"/>
    <numFmt numFmtId="182" formatCode="0.00%"/>
    <numFmt numFmtId="183" formatCode="0"/>
    <numFmt numFmtId="184" formatCode="0.00"/>
    <numFmt numFmtId="185" formatCode="d\-mmm"/>
    <numFmt numFmtId="186" formatCode="&quot;R$ &quot;#,##0.00;[RED]&quot;-R$ &quot;#,##0.00"/>
    <numFmt numFmtId="187" formatCode="#,##0.00"/>
  </numFmts>
  <fonts count="4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2"/>
      <charset val="1"/>
    </font>
    <font>
      <b val="true"/>
      <sz val="20"/>
      <color rgb="FF123B5D"/>
      <name val="Cambria"/>
      <family val="0"/>
      <charset val="1"/>
    </font>
    <font>
      <sz val="10"/>
      <color rgb="FF4B5563"/>
      <name val="Cambria"/>
      <family val="0"/>
      <charset val="1"/>
    </font>
    <font>
      <b val="true"/>
      <sz val="11"/>
      <color rgb="FF0F766E"/>
      <name val="Cambria"/>
      <family val="0"/>
      <charset val="1"/>
    </font>
    <font>
      <b val="true"/>
      <sz val="12"/>
      <color rgb="FF123B5D"/>
      <name val="Cambria"/>
      <family val="0"/>
      <charset val="1"/>
    </font>
    <font>
      <b val="true"/>
      <sz val="12"/>
      <color rgb="FF9F1239"/>
      <name val="Cambria"/>
      <family val="0"/>
      <charset val="1"/>
    </font>
    <font>
      <b val="true"/>
      <sz val="12"/>
      <color rgb="FF166534"/>
      <name val="Cambria"/>
      <family val="0"/>
      <charset val="1"/>
    </font>
    <font>
      <b val="true"/>
      <sz val="12"/>
      <color rgb="FF8A6D1A"/>
      <name val="Cambria"/>
      <family val="0"/>
      <charset val="1"/>
    </font>
    <font>
      <b val="true"/>
      <sz val="16"/>
      <color rgb="FF123B5D"/>
      <name val="Cambria"/>
      <family val="0"/>
      <charset val="1"/>
    </font>
    <font>
      <b val="true"/>
      <sz val="16"/>
      <color rgb="FF9F1239"/>
      <name val="Cambria"/>
      <family val="0"/>
      <charset val="1"/>
    </font>
    <font>
      <b val="true"/>
      <sz val="16"/>
      <color rgb="FF166534"/>
      <name val="Cambria"/>
      <family val="0"/>
      <charset val="1"/>
    </font>
    <font>
      <b val="true"/>
      <sz val="16"/>
      <color rgb="FF8A6D1A"/>
      <name val="Cambria"/>
      <family val="0"/>
      <charset val="1"/>
    </font>
    <font>
      <b val="true"/>
      <sz val="12"/>
      <color rgb="FF5B21B6"/>
      <name val="Cambria"/>
      <family val="0"/>
      <charset val="1"/>
    </font>
    <font>
      <b val="true"/>
      <sz val="12"/>
      <color rgb="FF075985"/>
      <name val="Cambria"/>
      <family val="0"/>
      <charset val="1"/>
    </font>
    <font>
      <b val="true"/>
      <sz val="16"/>
      <color rgb="FF5B21B6"/>
      <name val="Cambria"/>
      <family val="0"/>
      <charset val="1"/>
    </font>
    <font>
      <b val="true"/>
      <sz val="16"/>
      <color rgb="FF075985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1F2937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b val="true"/>
      <sz val="18"/>
      <color rgb="FFFFFFFF"/>
      <name val="Cambria"/>
      <family val="0"/>
      <charset val="1"/>
    </font>
    <font>
      <i val="true"/>
      <sz val="11"/>
      <color rgb="FF555555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6"/>
      <color rgb="FF000000"/>
      <name val="Cambria"/>
      <family val="0"/>
      <charset val="1"/>
    </font>
    <font>
      <b val="true"/>
      <sz val="11"/>
      <color rgb="FF163A5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6"/>
      <color rgb="FFFFFFFF"/>
      <name val="Cambria"/>
      <family val="0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1B1C1D"/>
      <name val="Google Sans Flex"/>
      <family val="0"/>
      <charset val="1"/>
    </font>
  </fonts>
  <fills count="34">
    <fill>
      <patternFill patternType="none"/>
    </fill>
    <fill>
      <patternFill patternType="gray125"/>
    </fill>
    <fill>
      <patternFill patternType="solid">
        <fgColor rgb="FFE6FFFB"/>
        <bgColor rgb="FFDCFCE7"/>
      </patternFill>
    </fill>
    <fill>
      <patternFill patternType="solid">
        <fgColor rgb="FFDCEBFF"/>
        <bgColor rgb="FFDCE6F2"/>
      </patternFill>
    </fill>
    <fill>
      <patternFill patternType="solid">
        <fgColor rgb="FFFDECEC"/>
        <bgColor rgb="FFFDE9E7"/>
      </patternFill>
    </fill>
    <fill>
      <patternFill patternType="solid">
        <fgColor rgb="FFE8F5E9"/>
        <bgColor rgb="FFEBF1DE"/>
      </patternFill>
    </fill>
    <fill>
      <patternFill patternType="solid">
        <fgColor rgb="FFFFF7CC"/>
        <bgColor rgb="FFFFF4CC"/>
      </patternFill>
    </fill>
    <fill>
      <patternFill patternType="solid">
        <fgColor rgb="FFFFF4CC"/>
        <bgColor rgb="FFFFF2CC"/>
      </patternFill>
    </fill>
    <fill>
      <patternFill patternType="solid">
        <fgColor rgb="FFEDE9FE"/>
        <bgColor rgb="FFF2F2F2"/>
      </patternFill>
    </fill>
    <fill>
      <patternFill patternType="solid">
        <fgColor rgb="FFE0F2FE"/>
        <bgColor rgb="FFD9F0F2"/>
      </patternFill>
    </fill>
    <fill>
      <patternFill patternType="solid">
        <fgColor rgb="FFDCFCE7"/>
        <bgColor rgb="FFE8F5E9"/>
      </patternFill>
    </fill>
    <fill>
      <patternFill patternType="solid">
        <fgColor rgb="FF123B5D"/>
        <bgColor rgb="FF163A5F"/>
      </patternFill>
    </fill>
    <fill>
      <patternFill patternType="solid">
        <fgColor rgb="FF0F766E"/>
        <bgColor rgb="FF0F7D8C"/>
      </patternFill>
    </fill>
    <fill>
      <patternFill patternType="solid">
        <fgColor rgb="FFDCE6F1"/>
        <bgColor rgb="FFDCE6F2"/>
      </patternFill>
    </fill>
    <fill>
      <patternFill patternType="solid">
        <fgColor rgb="FF163A5F"/>
        <bgColor rgb="FF123B5D"/>
      </patternFill>
    </fill>
    <fill>
      <patternFill patternType="solid">
        <fgColor rgb="FFF6FBFD"/>
        <bgColor rgb="FFF8FAFD"/>
      </patternFill>
    </fill>
    <fill>
      <patternFill patternType="solid">
        <fgColor rgb="FFFFF9E6"/>
        <bgColor rgb="FFF8FAFD"/>
      </patternFill>
    </fill>
    <fill>
      <patternFill patternType="solid">
        <fgColor rgb="FF0F7D8C"/>
        <bgColor rgb="FF0F766E"/>
      </patternFill>
    </fill>
    <fill>
      <patternFill patternType="solid">
        <fgColor rgb="FFD9F0F2"/>
        <bgColor rgb="FFE0F2FE"/>
      </patternFill>
    </fill>
    <fill>
      <patternFill patternType="solid">
        <fgColor rgb="FFFFF2CC"/>
        <bgColor rgb="FFFFF4CC"/>
      </patternFill>
    </fill>
    <fill>
      <patternFill patternType="solid">
        <fgColor theme="0" tint="-0.35"/>
        <bgColor rgb="FFB3B3B3"/>
      </patternFill>
    </fill>
    <fill>
      <patternFill patternType="solid">
        <fgColor rgb="FF3CA8C2"/>
        <bgColor rgb="FF4F81BD"/>
      </patternFill>
    </fill>
    <fill>
      <patternFill patternType="solid">
        <fgColor theme="0" tint="-0.15"/>
        <bgColor rgb="FFD1D5DB"/>
      </patternFill>
    </fill>
    <fill>
      <patternFill patternType="solid">
        <fgColor theme="8" tint="0.5999"/>
        <bgColor rgb="FFD0D7DE"/>
      </patternFill>
    </fill>
    <fill>
      <patternFill patternType="solid">
        <fgColor theme="6" tint="0.7999"/>
        <bgColor rgb="FFE8F5E9"/>
      </patternFill>
    </fill>
    <fill>
      <patternFill patternType="solid">
        <fgColor theme="0"/>
        <bgColor rgb="FFF8FAFD"/>
      </patternFill>
    </fill>
    <fill>
      <patternFill patternType="solid">
        <fgColor theme="6" tint="0.5999"/>
        <bgColor rgb="FFD9D9D9"/>
      </patternFill>
    </fill>
    <fill>
      <patternFill patternType="solid">
        <fgColor theme="0" tint="-0.05"/>
        <bgColor rgb="FFE8F5E9"/>
      </patternFill>
    </fill>
    <fill>
      <patternFill patternType="solid">
        <fgColor theme="5" tint="0.5999"/>
        <bgColor rgb="FFD1D5DB"/>
      </patternFill>
    </fill>
    <fill>
      <patternFill patternType="solid">
        <fgColor theme="5" tint="0.7999"/>
        <bgColor rgb="FFFDE9E7"/>
      </patternFill>
    </fill>
    <fill>
      <patternFill patternType="solid">
        <fgColor theme="8" tint="0.3999"/>
        <bgColor rgb="FF95B3D7"/>
      </patternFill>
    </fill>
    <fill>
      <patternFill patternType="solid">
        <fgColor rgb="FFFFFF00"/>
        <bgColor rgb="FFFFF7CC"/>
      </patternFill>
    </fill>
    <fill>
      <patternFill patternType="solid">
        <fgColor theme="4" tint="0.7999"/>
        <bgColor rgb="FFDCE6F1"/>
      </patternFill>
    </fill>
    <fill>
      <patternFill patternType="solid">
        <fgColor rgb="FFF8FAFD"/>
        <bgColor rgb="FFF6FBFD"/>
      </patternFill>
    </fill>
  </fills>
  <borders count="38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 diagonalUp="false" diagonalDown="false">
      <left style="thin">
        <color rgb="FFD1D5DB"/>
      </left>
      <right style="thin">
        <color rgb="FFD1D5DB"/>
      </right>
      <top style="medium">
        <color rgb="FF123B5D"/>
      </top>
      <bottom style="thin">
        <color rgb="FFD1D5DB"/>
      </bottom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 diagonalUp="false" diagonalDown="false">
      <left style="thin">
        <color rgb="FFD0D7DE"/>
      </left>
      <right style="thin">
        <color rgb="FFD0D7DE"/>
      </right>
      <top style="medium">
        <color rgb="FF0F7D8C"/>
      </top>
      <bottom style="thin">
        <color rgb="FFD0D7DE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medium">
        <color theme="4" tint="0.3999"/>
      </top>
      <bottom style="medium">
        <color theme="4" tint="0.3999"/>
      </bottom>
      <diagonal/>
    </border>
    <border diagonalUp="false" diagonalDown="false">
      <left/>
      <right/>
      <top style="medium">
        <color theme="4" tint="0.3999"/>
      </top>
      <bottom style="medium">
        <color theme="4" tint="0.3999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medium">
        <color theme="4" tint="0.3999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medium">
        <color theme="4" tint="0.3999"/>
      </bottom>
      <diagonal/>
    </border>
    <border diagonalUp="false" diagonalDown="false">
      <left style="thin"/>
      <right style="thin">
        <color theme="0"/>
      </right>
      <top style="thin">
        <color theme="0"/>
      </top>
      <bottom style="medium">
        <color theme="4" tint="0.3999"/>
      </bottom>
      <diagonal/>
    </border>
    <border diagonalUp="false" diagonalDown="false">
      <left style="thin">
        <color theme="0"/>
      </left>
      <right style="thin"/>
      <top style="thin">
        <color theme="0"/>
      </top>
      <bottom style="medium">
        <color theme="4" tint="0.3999"/>
      </bottom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medium">
        <color theme="4" tint="0.3999"/>
      </top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 style="medium">
        <color theme="4" tint="0.3999"/>
      </bottom>
      <diagonal/>
    </border>
    <border diagonalUp="false" diagonalDown="false">
      <left/>
      <right style="thin"/>
      <top/>
      <bottom style="medium">
        <color theme="4" tint="0.3999"/>
      </bottom>
      <diagonal/>
    </border>
    <border diagonalUp="false" diagonalDown="false">
      <left style="thin"/>
      <right/>
      <top style="medium">
        <color theme="4" tint="0.3999"/>
      </top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medium">
        <color theme="4" tint="0.3999"/>
      </top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 style="thin">
        <color theme="4"/>
      </top>
      <bottom style="medium">
        <color theme="4" tint="0.3999"/>
      </bottom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3" borderId="1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4" borderId="1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5" fillId="5" borderId="1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6" borderId="1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9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10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6" fillId="7" borderId="1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8" borderId="1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0" fillId="9" borderId="1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5" fillId="10" borderId="1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1" borderId="0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2" borderId="1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1" xfId="24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5" fillId="0" borderId="1" xfId="24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3" borderId="2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5" fillId="13" borderId="2" xfId="24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5" fillId="13" borderId="2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1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1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6" fillId="3" borderId="1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14" borderId="0" xfId="2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14" borderId="3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0" fillId="15" borderId="3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0" fillId="15" borderId="3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9" fillId="14" borderId="3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0" fillId="16" borderId="3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7" borderId="3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7" borderId="3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5" fillId="0" borderId="3" xfId="24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5" fillId="0" borderId="3" xfId="24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3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3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3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3" xfId="24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18" borderId="4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2" fillId="18" borderId="4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32" fillId="18" borderId="4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6" fillId="19" borderId="3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3" fillId="14" borderId="0" xfId="2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6" fillId="19" borderId="3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4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5" fillId="0" borderId="0" xfId="24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3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3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3" xfId="24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3" xfId="2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5" fillId="0" borderId="3" xfId="24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72" fontId="5" fillId="0" borderId="3" xfId="24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24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24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7" fontId="5" fillId="0" borderId="0" xfId="24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24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8" fontId="5" fillId="0" borderId="0" xfId="24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5" fillId="0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1" borderId="0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2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22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4" fillId="23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3" borderId="0" xfId="2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0" fillId="24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7" fontId="0" fillId="24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4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9" fontId="0" fillId="24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4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24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25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5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0" fillId="2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34" fillId="25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5" fillId="25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0" fillId="26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6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6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9" fontId="0" fillId="26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26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27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7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0" fillId="2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34" fillId="27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5" fillId="27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35" fillId="25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35" fillId="27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0" fillId="28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8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9" fontId="0" fillId="28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28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34" fillId="2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0" fillId="29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9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9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9" fontId="0" fillId="29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29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34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3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34" fillId="23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1" borderId="0" xfId="2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23" borderId="0" xfId="24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81" fontId="34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4" fillId="23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25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0" fillId="2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36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34" fillId="21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3" borderId="0" xfId="2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3" borderId="0" xfId="24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4" fillId="25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7" borderId="0" xfId="24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7" borderId="0" xfId="24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34" fillId="27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27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5" borderId="0" xfId="24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35" fillId="25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5" fillId="25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5" fillId="27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5" fillId="2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4" fillId="2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34" fillId="27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21" borderId="0" xfId="24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5" borderId="0" xfId="24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0" fillId="25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81" fontId="5" fillId="0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7" borderId="0" xfId="24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0" fillId="27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2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27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27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5" fillId="27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25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2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25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25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5" fillId="25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5" fillId="27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3" fontId="5" fillId="25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5" fillId="25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7" fillId="27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7" fillId="25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2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21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2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21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21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21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25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25" borderId="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0" fillId="25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0" fillId="25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25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21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0" fillId="25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23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3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6" fillId="3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3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36" fillId="3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36" fillId="23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0" fontId="36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25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5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25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5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5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5" borderId="1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0" fillId="25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25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0" fillId="25" borderId="1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25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1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31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25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6" fillId="25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31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6" fillId="31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31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5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2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2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7" fillId="25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37" fillId="25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37" fillId="2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25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8" fillId="25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23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4" fillId="23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4" fillId="2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2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4" fillId="23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34" fillId="2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3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4" fillId="2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23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23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4" fillId="23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3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0" fillId="26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5" fontId="0" fillId="2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25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4" fillId="3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3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3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5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21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4" fillId="21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21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0" fontId="34" fillId="21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4" fillId="21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21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4" fillId="21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3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5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5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23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23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5" borderId="1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0" borderId="1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80" fontId="0" fillId="0" borderId="2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0" fontId="0" fillId="32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25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25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32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25" borderId="1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23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8" fillId="2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34" fillId="2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0" fontId="34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0" fillId="3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0" fillId="2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21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8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3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25" borderId="2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6" fillId="3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7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6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8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29" xfId="24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25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0" xfId="24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1" fontId="5" fillId="0" borderId="30" xfId="24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1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32" xfId="24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7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6" xfId="24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1" fontId="5" fillId="0" borderId="23" xfId="24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5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33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3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4" xfId="24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9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34" fillId="2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5" xfId="24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23" borderId="36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23" borderId="3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4" fillId="23" borderId="37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4" fillId="23" borderId="37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4" fillId="3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4" fillId="21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4" fillId="21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4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39" fillId="33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33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7" fontId="39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35" fillId="2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38" fillId="29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8" fillId="2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29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9" fontId="38" fillId="29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29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38" fillId="29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0" fontId="0" fillId="29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0" fontId="0" fillId="2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0" fontId="0" fillId="2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5" fillId="24" borderId="0" xfId="24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4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5" fillId="24" borderId="0" xfId="24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4" borderId="0" xfId="2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5" fillId="24" borderId="0" xfId="24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5" fillId="26" borderId="0" xfId="24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6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5" fillId="26" borderId="0" xfId="24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6" borderId="0" xfId="2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5" fillId="26" borderId="0" xfId="24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5" fillId="29" borderId="0" xfId="24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9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5" fillId="29" borderId="0" xfId="24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9" borderId="0" xfId="2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5" fillId="29" borderId="0" xfId="24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5" fillId="28" borderId="0" xfId="24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8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5" fillId="28" borderId="0" xfId="24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8" borderId="0" xfId="2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5" fillId="28" borderId="0" xfId="24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1" borderId="0" xfId="24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0" fontId="0" fillId="2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9" borderId="0" xfId="24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23" borderId="0" xfId="24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34" fillId="23" borderId="0" xfId="2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5" fillId="0" borderId="0" xfId="24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5" fillId="0" borderId="0" xfId="24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5" fillId="0" borderId="0" xfId="24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5" fillId="24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5" fillId="24" borderId="0" xfId="24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5" fillId="26" borderId="0" xfId="24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5" fillId="29" borderId="0" xfId="24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5" fillId="28" borderId="0" xfId="24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5" fillId="0" borderId="0" xfId="24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</cellStyles>
  <dxfs count="20">
    <dxf>
      <fill>
        <patternFill patternType="solid">
          <fgColor rgb="FF123B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FFF4CC"/>
        </patternFill>
      </fill>
    </dxf>
    <dxf>
      <fill>
        <patternFill patternType="solid">
          <fgColor rgb="FF0F7D8C"/>
          <bgColor rgb="FF000000"/>
        </patternFill>
      </fill>
    </dxf>
    <dxf>
      <fill>
        <patternFill patternType="solid">
          <fgColor rgb="FFD7E4BD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3CA8C2"/>
          <bgColor rgb="FF000000"/>
        </patternFill>
      </fill>
    </dxf>
    <dxf>
      <fill>
        <patternFill patternType="solid">
          <fgColor rgb="FFB7DEE8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CE6F2"/>
          <bgColor rgb="FF000000"/>
        </patternFill>
      </fill>
    </dxf>
    <dxf>
      <fill>
        <patternFill patternType="solid">
          <fgColor rgb="FF93CDD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8FAFD"/>
          <bgColor rgb="FF000000"/>
        </patternFill>
      </fill>
    </dxf>
    <dxf>
      <fill>
        <patternFill patternType="solid">
          <fgColor rgb="FF1B1C1D"/>
          <bgColor rgb="FF000000"/>
        </patternFill>
      </fill>
    </dxf>
  </dxfs>
  <colors>
    <indexedColors>
      <rgbColor rgb="FF000000"/>
      <rgbColor rgb="FFFFFFFF"/>
      <rgbColor rgb="FFFF0000"/>
      <rgbColor rgb="FFEBF1DE"/>
      <rgbColor rgb="FF0000FF"/>
      <rgbColor rgb="FFFFFF00"/>
      <rgbColor rgb="FFF2F2F2"/>
      <rgbColor rgb="FFDCEBFF"/>
      <rgbColor rgb="FF9F1239"/>
      <rgbColor rgb="FF166534"/>
      <rgbColor rgb="FF000080"/>
      <rgbColor rgb="FF8A6D1A"/>
      <rgbColor rgb="FF5B21B6"/>
      <rgbColor rgb="FF0F7D8C"/>
      <rgbColor rgb="FFB3B3B3"/>
      <rgbColor rgb="FF4F81BD"/>
      <rgbColor rgb="FF95B3D7"/>
      <rgbColor rgb="FFC0504D"/>
      <rgbColor rgb="FFFFF7CC"/>
      <rgbColor rgb="FFDCFCE7"/>
      <rgbColor rgb="FFFFF9E6"/>
      <rgbColor rgb="FFD9D9D9"/>
      <rgbColor rgb="FF075985"/>
      <rgbColor rgb="FFD0D7DE"/>
      <rgbColor rgb="FF000080"/>
      <rgbColor rgb="FFE0F2FE"/>
      <rgbColor rgb="FFFFF2CC"/>
      <rgbColor rgb="FFDCE6F2"/>
      <rgbColor rgb="FF7C3AED"/>
      <rgbColor rgb="FFF8FAFD"/>
      <rgbColor rgb="FF0F766E"/>
      <rgbColor rgb="FFF6FBFD"/>
      <rgbColor rgb="FFDCE6F1"/>
      <rgbColor rgb="FFD9F0F2"/>
      <rgbColor rgb="FFE8F5E9"/>
      <rgbColor rgb="FFFFF4CC"/>
      <rgbColor rgb="FF93CDDD"/>
      <rgbColor rgb="FFF2DCDB"/>
      <rgbColor rgb="FFD1D5DB"/>
      <rgbColor rgb="FFE6B9B8"/>
      <rgbColor rgb="FF2563EB"/>
      <rgbColor rgb="FF3CA8C2"/>
      <rgbColor rgb="FF9BBB59"/>
      <rgbColor rgb="FFD7E4BD"/>
      <rgbColor rgb="FFFDE9E7"/>
      <rgbColor rgb="FFFDECEC"/>
      <rgbColor rgb="FF4B5563"/>
      <rgbColor rgb="FFA6A6A6"/>
      <rgbColor rgb="FF123B5D"/>
      <rgbColor rgb="FFB7DEE8"/>
      <rgbColor rgb="FFE6FFFB"/>
      <rgbColor rgb="FF1B1C1D"/>
      <rgbColor rgb="FFEDE9FE"/>
      <rgbColor rgb="FF555555"/>
      <rgbColor rgb="FF163A5F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Receita vs despesa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'Resumo Mensal'!B4</c:f>
              <c:strCache>
                <c:ptCount val="1"/>
                <c:pt idx="0">
                  <c:v>Receita prevista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'Resumo Mensal'!$A$5:$A$10</c:f>
              <c:strCache>
                <c:ptCount val="6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</c:strCache>
            </c:strRef>
          </c:cat>
          <c:val>
            <c:numRef>
              <c:f>'Resumo Mensal'!$B$5:$B$10</c:f>
              <c:numCache>
                <c:formatCode>"R$ "#,##0.00;[RED]"(R$ "#,##0.00\);\-</c:formatCode>
                <c:ptCount val="6"/>
                <c:pt idx="0">
                  <c:v>30260</c:v>
                </c:pt>
                <c:pt idx="1">
                  <c:v>29900</c:v>
                </c:pt>
                <c:pt idx="2">
                  <c:v>29050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'Resumo Mensal'!C4</c:f>
              <c:strCache>
                <c:ptCount val="1"/>
                <c:pt idx="0">
                  <c:v>A receber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'Resumo Mensal'!$A$5:$A$10</c:f>
              <c:strCache>
                <c:ptCount val="6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</c:strCache>
            </c:strRef>
          </c:cat>
          <c:val>
            <c:numRef>
              <c:f>'Resumo Mensal'!$C$5:$C$10</c:f>
              <c:numCache>
                <c:formatCode>"R$ "#,##0.00;[RED]"(R$ "#,##0.00\);\-</c:formatCode>
                <c:ptCount val="6"/>
                <c:pt idx="0">
                  <c:v>1500</c:v>
                </c:pt>
                <c:pt idx="1">
                  <c:v>7100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2"/>
          <c:order val="2"/>
          <c:tx>
            <c:strRef>
              <c:f>'Resumo Mensal'!D4</c:f>
              <c:strCache>
                <c:ptCount val="1"/>
                <c:pt idx="0">
                  <c:v>Despesa prevista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'Resumo Mensal'!$A$5:$A$10</c:f>
              <c:strCache>
                <c:ptCount val="6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</c:strCache>
            </c:strRef>
          </c:cat>
          <c:val>
            <c:numRef>
              <c:f>'Resumo Mensal'!$D$5:$D$10</c:f>
              <c:numCache>
                <c:formatCode>"R$ "#,##0.00;[RED]"(R$ "#,##0.00\);\-</c:formatCode>
                <c:ptCount val="6"/>
                <c:pt idx="0">
                  <c:v>28429.69</c:v>
                </c:pt>
                <c:pt idx="1">
                  <c:v>29540.35</c:v>
                </c:pt>
                <c:pt idx="2">
                  <c:v>28622.3</c:v>
                </c:pt>
                <c:pt idx="3">
                  <c:v>28322.3</c:v>
                </c:pt>
                <c:pt idx="4">
                  <c:v>28322.3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62004354"/>
        <c:axId val="38685845"/>
      </c:barChart>
      <c:catAx>
        <c:axId val="620043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Mes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8685845"/>
        <c:crosses val="autoZero"/>
        <c:auto val="1"/>
        <c:lblAlgn val="ctr"/>
        <c:lblOffset val="100"/>
        <c:noMultiLvlLbl val="0"/>
      </c:catAx>
      <c:valAx>
        <c:axId val="3868584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R$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R$ &quot;#,##0.00;[RED]&quot;(R$ &quot;#,##0.0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20043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Resultado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'Resumo Mensal'!E4</c:f>
              <c:strCache>
                <c:ptCount val="1"/>
                <c:pt idx="0">
                  <c:v>Resultado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'Resumo Mensal'!$A$5:$A$10</c:f>
              <c:strCache>
                <c:ptCount val="6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</c:strCache>
            </c:strRef>
          </c:cat>
          <c:val>
            <c:numRef>
              <c:f>'Resumo Mensal'!$E$5:$E$10</c:f>
              <c:numCache>
                <c:formatCode>"R$ "#,##0.00;[RED]"(R$ "#,##0.00\);\-</c:formatCode>
                <c:ptCount val="6"/>
                <c:pt idx="0">
                  <c:v>1830.31</c:v>
                </c:pt>
                <c:pt idx="1">
                  <c:v>359.650000000001</c:v>
                </c:pt>
                <c:pt idx="2">
                  <c:v>427.700000000001</c:v>
                </c:pt>
                <c:pt idx="3">
                  <c:v>-28322.3</c:v>
                </c:pt>
                <c:pt idx="4">
                  <c:v>-28322.3</c:v>
                </c:pt>
                <c:pt idx="5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83492"/>
        <c:axId val="43476217"/>
      </c:lineChart>
      <c:catAx>
        <c:axId val="77834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43476217"/>
        <c:crosses val="autoZero"/>
        <c:auto val="1"/>
        <c:lblAlgn val="ctr"/>
        <c:lblOffset val="100"/>
        <c:noMultiLvlLbl val="0"/>
      </c:catAx>
      <c:valAx>
        <c:axId val="4347621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R$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R$ &quot;#,##0.00;[RED]&quot;(R$ &quot;#,##0.0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7834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17</xdr:row>
      <xdr:rowOff>70560</xdr:rowOff>
    </xdr:from>
    <xdr:to>
      <xdr:col>2</xdr:col>
      <xdr:colOff>1289880</xdr:colOff>
      <xdr:row>28</xdr:row>
      <xdr:rowOff>134640</xdr:rowOff>
    </xdr:to>
    <xdr:graphicFrame>
      <xdr:nvGraphicFramePr>
        <xdr:cNvPr id="0" name="Chart 1"/>
        <xdr:cNvGraphicFramePr/>
      </xdr:nvGraphicFramePr>
      <xdr:xfrm>
        <a:off x="211320" y="3429000"/>
        <a:ext cx="269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17</xdr:row>
      <xdr:rowOff>70560</xdr:rowOff>
    </xdr:from>
    <xdr:to>
      <xdr:col>11</xdr:col>
      <xdr:colOff>20880</xdr:colOff>
      <xdr:row>28</xdr:row>
      <xdr:rowOff>134640</xdr:rowOff>
    </xdr:to>
    <xdr:graphicFrame>
      <xdr:nvGraphicFramePr>
        <xdr:cNvPr id="1" name="Chart 2"/>
        <xdr:cNvGraphicFramePr/>
      </xdr:nvGraphicFramePr>
      <xdr:xfrm>
        <a:off x="9656280" y="3429000"/>
        <a:ext cx="269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ela1014" displayName="Tabela1014" ref="B3:L315" headerRowCount="1" totalsRowCount="0" totalsRowShown="0">
  <autoFilter ref="B3:L315"/>
  <tableColumns count="11">
    <tableColumn id="1" name="mês"/>
    <tableColumn id="2" name="Serviço"/>
    <tableColumn id="3" name="Cliente "/>
    <tableColumn id="4" name="Pagamento "/>
    <tableColumn id="5" name="Data "/>
    <tableColumn id="6" name="Valor "/>
    <tableColumn id="7" name="Descrição "/>
    <tableColumn id="8" name="Competência"/>
    <tableColumn id="9" name="Status"/>
    <tableColumn id="10" name="A Receber "/>
    <tableColumn id="11" name="Competência2"/>
  </tableColumns>
</table>
</file>

<file path=xl/tables/table2.xml><?xml version="1.0" encoding="utf-8"?>
<table xmlns="http://schemas.openxmlformats.org/spreadsheetml/2006/main" id="2" name="Tabela2" displayName="Tabela2" ref="N2:AR67" headerRowCount="1" totalsRowCount="0" totalsRowShown="0">
  <autoFilter ref="N2:AR67"/>
  <tableColumns count="31">
    <tableColumn id="1" name="Coluna1"/>
    <tableColumn id="2" name="Coluna2"/>
    <tableColumn id="3" name="Coluna3"/>
    <tableColumn id="4" name="Coluna4"/>
    <tableColumn id="5" name="Coluna5"/>
    <tableColumn id="6" name="Coluna6"/>
    <tableColumn id="7" name="Coluna7"/>
    <tableColumn id="8" name="Coluna8"/>
    <tableColumn id="9" name="Coluna9"/>
    <tableColumn id="10" name="Coluna10"/>
    <tableColumn id="11" name="Coluna11"/>
    <tableColumn id="12" name="Coluna12"/>
    <tableColumn id="13" name="Coluna13"/>
    <tableColumn id="14" name="Coluna14"/>
    <tableColumn id="15" name="Coluna15"/>
    <tableColumn id="16" name="Coluna16"/>
    <tableColumn id="17" name="Coluna17"/>
    <tableColumn id="18" name="Coluna18"/>
    <tableColumn id="19" name="Coluna19"/>
    <tableColumn id="20" name="Coluna20"/>
    <tableColumn id="21" name="Coluna21"/>
    <tableColumn id="22" name="Coluna22"/>
    <tableColumn id="23" name="Coluna23"/>
    <tableColumn id="24" name="Coluna24"/>
    <tableColumn id="25" name="Coluna25"/>
    <tableColumn id="26" name="Coluna26"/>
    <tableColumn id="27" name="Coluna27"/>
    <tableColumn id="28" name="Coluna28"/>
    <tableColumn id="29" name="Coluna29"/>
    <tableColumn id="30" name="Coluna30"/>
    <tableColumn id="31" name="Coluna31"/>
  </tableColumns>
</table>
</file>

<file path=xl/tables/table3.xml><?xml version="1.0" encoding="utf-8"?>
<table xmlns="http://schemas.openxmlformats.org/spreadsheetml/2006/main" id="3" name="Tabela25" displayName="Tabela25" ref="C2:I60" headerRowCount="1" totalsRowCount="0" totalsRowShown="0">
  <autoFilter ref="C2:I60"/>
  <tableColumns count="7">
    <tableColumn id="1" name="Coluna1"/>
    <tableColumn id="2" name="Coluna18"/>
    <tableColumn id="3" name="Coluna19"/>
    <tableColumn id="4" name="Coluna20"/>
    <tableColumn id="5" name="Coluna21"/>
    <tableColumn id="6" name="Coluna22"/>
    <tableColumn id="7" name="Coluna23"/>
  </tableColumns>
</table>
</file>

<file path=xl/tables/table4.xml><?xml version="1.0" encoding="utf-8"?>
<table xmlns="http://schemas.openxmlformats.org/spreadsheetml/2006/main" id="4" name="Tabela252" displayName="Tabela252" ref="C2:I60" headerRowCount="1" totalsRowCount="0" totalsRowShown="0">
  <autoFilter ref="C2:I60"/>
  <tableColumns count="7">
    <tableColumn id="1" name="Coluna1"/>
    <tableColumn id="2" name="Coluna18"/>
    <tableColumn id="3" name="Coluna19"/>
    <tableColumn id="4" name="Coluna20"/>
    <tableColumn id="5" name="Coluna21"/>
    <tableColumn id="6" name="Coluna22"/>
    <tableColumn id="7" name="Coluna23"/>
  </tableColumns>
</table>
</file>

<file path=xl/tables/table5.xml><?xml version="1.0" encoding="utf-8"?>
<table xmlns="http://schemas.openxmlformats.org/spreadsheetml/2006/main" id="5" name="Tabela2527" displayName="Tabela2527" ref="X3:AD61" headerRowCount="1" totalsRowCount="0" totalsRowShown="0">
  <autoFilter ref="X3:AD61"/>
  <tableColumns count="7">
    <tableColumn id="1" name="Coluna1"/>
    <tableColumn id="2" name="Coluna18"/>
    <tableColumn id="3" name="Coluna19"/>
    <tableColumn id="4" name="Coluna20"/>
    <tableColumn id="5" name="Coluna21"/>
    <tableColumn id="6" name="Coluna22"/>
    <tableColumn id="7" name="Coluna23"/>
  </tableColumns>
</table>
</file>

<file path=xl/tables/table6.xml><?xml version="1.0" encoding="utf-8"?>
<table xmlns="http://schemas.openxmlformats.org/spreadsheetml/2006/main" id="6" name="Tabela3" displayName="Tabela3" ref="C5:C361" headerRowCount="1" totalsRowCount="0" totalsRowShown="0">
  <autoFilter ref="C5:C361"/>
  <tableColumns count="1">
    <tableColumn id="1" name="mês                 "/>
  </tableColumns>
</table>
</file>

<file path=xl/tables/table7.xml><?xml version="1.0" encoding="utf-8"?>
<table xmlns="http://schemas.openxmlformats.org/spreadsheetml/2006/main" id="7" name="Tabela310" displayName="Tabela310" ref="C5:C361" headerRowCount="1" totalsRowCount="0" totalsRowShown="0">
  <autoFilter ref="C5:C361">
    <filterColumn colId="0" hiddenButton="1">
      <filters>
        <filter val="dezembro"/>
      </filters>
    </filterColumn>
  </autoFilter>
  <tableColumns count="1">
    <tableColumn id="1" name="mês                 "/>
  </tableColumns>
</table>
</file>

<file path=xl/tables/table8.xml><?xml version="1.0" encoding="utf-8"?>
<table xmlns="http://schemas.openxmlformats.org/spreadsheetml/2006/main" id="8" name="Tabela5" displayName="Tabela5" ref="D5:D357" headerRowCount="1" totalsRowCount="0" totalsRowShown="0">
  <autoFilter ref="D5:D357"/>
  <tableColumns count="1">
    <tableColumn id="1" name="tipo"/>
  </tableColumns>
</table>
</file>

<file path=xl/tables/table9.xml><?xml version="1.0" encoding="utf-8"?>
<table xmlns="http://schemas.openxmlformats.org/spreadsheetml/2006/main" id="9" name="Tabela511" displayName="Tabela511" ref="D5:D357" headerRowCount="1" totalsRowCount="0" totalsRowShown="0">
  <autoFilter ref="D5:D357">
    <filterColumn colId="0" hiddenButton="1">
      <filters>
        <filter val="Custo fixo"/>
      </filters>
    </filterColumn>
  </autoFilter>
  <tableColumns count="1">
    <tableColumn id="1" name="tipo"/>
  </tableColumns>
</table>
</file>

<file path=xl/tables/table10.xml><?xml version="1.0" encoding="utf-8"?>
<table xmlns="http://schemas.openxmlformats.org/spreadsheetml/2006/main" id="10" name="Tabela7" displayName="Tabela7" ref="H5:H357" headerRowCount="1" totalsRowCount="0" totalsRowShown="0">
  <autoFilter ref="H5:H357"/>
  <tableColumns count="1">
    <tableColumn id="1" name="competência "/>
  </tableColumns>
</table>
</file>

<file path=xl/tables/table11.xml><?xml version="1.0" encoding="utf-8"?>
<table xmlns="http://schemas.openxmlformats.org/spreadsheetml/2006/main" id="11" name="Tabela712" displayName="Tabela712" ref="H5:H357" headerRowCount="1" totalsRowCount="0" totalsRowShown="0">
  <autoFilter ref="H5:H357">
    <filterColumn colId="0" hiddenButton="1">
      <filters blank="1"/>
    </filterColumn>
  </autoFilter>
  <tableColumns count="1">
    <tableColumn id="1" name="competência "/>
  </tableColumns>
</table>
</file>

<file path=xl/tables/table12.xml><?xml version="1.0" encoding="utf-8"?>
<table xmlns="http://schemas.openxmlformats.org/spreadsheetml/2006/main" id="12" name="Tabela8" displayName="Tabela8" ref="E5:E357" headerRowCount="1" totalsRowCount="0" totalsRowShown="0">
  <autoFilter ref="E5:E357"/>
  <tableColumns count="1">
    <tableColumn id="1" name="descrição "/>
  </tableColumns>
</table>
</file>

<file path=xl/tables/table13.xml><?xml version="1.0" encoding="utf-8"?>
<table xmlns="http://schemas.openxmlformats.org/spreadsheetml/2006/main" id="13" name="Tabela813" displayName="Tabela813" ref="E5:E357" headerRowCount="1" totalsRowCount="0" totalsRowShown="0">
  <autoFilter ref="E5:E357">
    <filterColumn colId="0" hiddenButton="1">
      <filters>
        <filter val="ADRIFER"/>
      </filters>
    </filterColumn>
  </autoFilter>
  <tableColumns count="1">
    <tableColumn id="1" name="descrição "/>
  </tableColumns>
</table>
</file>

<file path=xl/tables/table14.xml><?xml version="1.0" encoding="utf-8"?>
<table xmlns="http://schemas.openxmlformats.org/spreadsheetml/2006/main" id="14" name="TabelaBaseFinanceira" displayName="TabelaBaseFinanceira" ref="A1:J218" headerRowCount="1" totalsRowCount="0" totalsRowShown="0">
  <autoFilter ref="A1:J218"/>
  <tableColumns count="10">
    <tableColumn id="1" name="Tipo"/>
    <tableColumn id="2" name="Mês"/>
    <tableColumn id="3" name="Categoria/Serviço"/>
    <tableColumn id="4" name="Cliente/Despesa"/>
    <tableColumn id="5" name="Valor"/>
    <tableColumn id="6" name="Pagamento"/>
    <tableColumn id="7" name="Status"/>
    <tableColumn id="8" name="Dia"/>
    <tableColumn id="9" name="Competência"/>
    <tableColumn id="10" name="Observação"/>
  </tableColumns>
</table>
</file>

<file path=xl/tables/table15.xml><?xml version="1.0" encoding="utf-8"?>
<table xmlns="http://schemas.openxmlformats.org/spreadsheetml/2006/main" id="15" name="TabelaDespesasBI" displayName="TabelaDespesasBI" ref="A1:K159" headerRowCount="1" totalsRowCount="0" totalsRowShown="0">
  <autoFilter ref="A1:K159"/>
  <tableColumns count="11">
    <tableColumn id="1" name="Mês"/>
    <tableColumn id="2" name="Categoria"/>
    <tableColumn id="3" name="Despesa"/>
    <tableColumn id="4" name="Valor"/>
    <tableColumn id="5" name="Dia"/>
    <tableColumn id="6" name="Pagamento"/>
    <tableColumn id="7" name="Status"/>
    <tableColumn id="8" name="Condição"/>
    <tableColumn id="9" name="Competência"/>
    <tableColumn id="10" name="Natureza"/>
    <tableColumn id="11" name="Alerta"/>
  </tableColumns>
</table>
</file>

<file path=xl/tables/table16.xml><?xml version="1.0" encoding="utf-8"?>
<table xmlns="http://schemas.openxmlformats.org/spreadsheetml/2006/main" id="16" name="TabelaReceitasBI" displayName="TabelaReceitasBI" ref="A1:L60" headerRowCount="1" totalsRowCount="0" totalsRowShown="0">
  <autoFilter ref="A1:L60"/>
  <tableColumns count="12">
    <tableColumn id="1" name="Mês"/>
    <tableColumn id="2" name="Serviço"/>
    <tableColumn id="3" name="Cliente"/>
    <tableColumn id="4" name="Pagamento"/>
    <tableColumn id="5" name="Dia"/>
    <tableColumn id="6" name="Valor previsto"/>
    <tableColumn id="7" name="Descrição"/>
    <tableColumn id="8" name="Competência"/>
    <tableColumn id="9" name="Status"/>
    <tableColumn id="10" name="A receber"/>
    <tableColumn id="11" name="Classificação"/>
    <tableColumn id="12" name="Cobrança"/>
  </tableColumns>
</table>
</file>

<file path=xl/tables/table17.xml><?xml version="1.0" encoding="utf-8"?>
<table xmlns="http://schemas.openxmlformats.org/spreadsheetml/2006/main" id="17" name="tblDespesasBase" displayName="tblDespesasBase" ref="A1:I159" headerRowCount="1" totalsRowCount="0" totalsRowShown="0">
  <autoFilter ref="A1:I159">
    <filterColumn colId="0">
      <filters>
        <filter val="Março"/>
      </filters>
    </filterColumn>
  </autoFilter>
  <tableColumns count="9">
    <tableColumn id="1" name="Mês"/>
    <tableColumn id="2" name="Categoria"/>
    <tableColumn id="3" name="Despesa"/>
    <tableColumn id="4" name="Valor"/>
    <tableColumn id="5" name="Dia"/>
    <tableColumn id="6" name="Pagamento"/>
    <tableColumn id="7" name="Status"/>
    <tableColumn id="8" name="Condição"/>
    <tableColumn id="9" name="Competência"/>
  </tableColumns>
</table>
</file>

<file path=xl/tables/table18.xml><?xml version="1.0" encoding="utf-8"?>
<table xmlns="http://schemas.openxmlformats.org/spreadsheetml/2006/main" id="18" name="tblReceitasBase" displayName="tblReceitasBase" ref="A1:K60" headerRowCount="1" totalsRowCount="0" totalsRowShown="0">
  <autoFilter ref="A1:K60"/>
  <tableColumns count="11">
    <tableColumn id="1" name="Mês"/>
    <tableColumn id="2" name="Serviço"/>
    <tableColumn id="3" name="Cliente"/>
    <tableColumn id="4" name="Pagamento"/>
    <tableColumn id="5" name="Dia"/>
    <tableColumn id="6" name="Valor Previsto"/>
    <tableColumn id="7" name="Descrição"/>
    <tableColumn id="8" name="Competência"/>
    <tableColumn id="9" name="Status"/>
    <tableColumn id="10" name="A Receber"/>
    <tableColumn id="11" name="Competência A Receber"/>
  </tableColumns>
</table>
</file>

<file path=xl/theme/theme1.xml><?xml version="1.0" encoding="utf-8"?>
<a:theme xmlns:a="http://schemas.openxmlformats.org/drawingml/2006/main" xmlns:r="http://schemas.openxmlformats.org/officeDocument/2006/relationships" name="Offic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6.xml"/><Relationship Id="rId2" Type="http://schemas.openxmlformats.org/officeDocument/2006/relationships/table" Target="../tables/table8.xml"/><Relationship Id="rId3" Type="http://schemas.openxmlformats.org/officeDocument/2006/relationships/table" Target="../tables/table10.xml"/><Relationship Id="rId4" Type="http://schemas.openxmlformats.org/officeDocument/2006/relationships/table" Target="../tables/table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4.xml"/><Relationship Id="rId2" Type="http://schemas.openxmlformats.org/officeDocument/2006/relationships/table" Target="../tables/table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7.xml"/><Relationship Id="rId2" Type="http://schemas.openxmlformats.org/officeDocument/2006/relationships/table" Target="../tables/table9.xml"/><Relationship Id="rId3" Type="http://schemas.openxmlformats.org/officeDocument/2006/relationships/table" Target="../tables/table11.xml"/><Relationship Id="rId4" Type="http://schemas.openxmlformats.org/officeDocument/2006/relationships/table" Target="../tables/table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23B5D"/>
    <pageSetUpPr fitToPage="false"/>
  </sheetPr>
  <dimension ref="B2:O46"/>
  <sheetViews>
    <sheetView showFormulas="false" showGridLines="fals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B13" activeCellId="0" sqref="B1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5" min="2" style="1" width="20"/>
    <col collapsed="false" customWidth="true" hidden="false" outlineLevel="0" max="6" min="6" style="1" width="14"/>
    <col collapsed="false" customWidth="true" hidden="false" outlineLevel="0" max="8" min="7" style="1" width="18"/>
    <col collapsed="false" customWidth="true" hidden="false" outlineLevel="0" max="9" min="9" style="1" width="4"/>
    <col collapsed="false" customWidth="true" hidden="false" outlineLevel="0" max="10" min="10" style="1" width="20"/>
    <col collapsed="false" customWidth="true" hidden="false" outlineLevel="0" max="12" min="11" style="1" width="18"/>
    <col collapsed="false" customWidth="true" hidden="false" outlineLevel="0" max="13" min="13" style="1" width="16"/>
    <col collapsed="false" customWidth="true" hidden="false" outlineLevel="0" max="14" min="14" style="1" width="22"/>
    <col collapsed="false" customWidth="true" hidden="false" outlineLevel="0" max="15" min="15" style="1" width="18"/>
  </cols>
  <sheetData>
    <row r="2" customFormat="false" ht="24.45" hidden="false" customHeight="fals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B3" s="3" t="s">
        <v>1</v>
      </c>
    </row>
    <row r="5" customFormat="false" ht="15" hidden="false" customHeight="false" outlineLevel="0" collapsed="false">
      <c r="B5" s="4" t="s">
        <v>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7" customFormat="false" ht="15" hidden="false" customHeight="false" outlineLevel="0" collapsed="false">
      <c r="B7" s="5" t="s">
        <v>3</v>
      </c>
      <c r="C7" s="5"/>
      <c r="D7" s="5"/>
      <c r="F7" s="6" t="s">
        <v>4</v>
      </c>
      <c r="G7" s="6"/>
      <c r="H7" s="6"/>
      <c r="J7" s="7" t="s">
        <v>5</v>
      </c>
      <c r="K7" s="7"/>
      <c r="L7" s="7"/>
      <c r="N7" s="8" t="s">
        <v>6</v>
      </c>
      <c r="O7" s="8"/>
    </row>
    <row r="8" customFormat="false" ht="15" hidden="false" customHeight="false" outlineLevel="0" collapsed="false">
      <c r="B8" s="9" t="n">
        <v>89210</v>
      </c>
      <c r="C8" s="9"/>
      <c r="D8" s="9"/>
      <c r="F8" s="10" t="n">
        <v>143436.94</v>
      </c>
      <c r="G8" s="10"/>
      <c r="H8" s="10"/>
      <c r="J8" s="11" t="n">
        <v>-54226.94</v>
      </c>
      <c r="K8" s="11"/>
      <c r="L8" s="11"/>
      <c r="N8" s="12" t="n">
        <v>-0.607857190897882</v>
      </c>
      <c r="O8" s="12"/>
    </row>
    <row r="9" customFormat="false" ht="15" hidden="false" customHeight="false" outlineLevel="0" collapsed="false">
      <c r="B9" s="9"/>
      <c r="C9" s="9"/>
      <c r="D9" s="9"/>
      <c r="F9" s="10"/>
      <c r="G9" s="10"/>
      <c r="H9" s="10"/>
      <c r="J9" s="11"/>
      <c r="K9" s="11"/>
      <c r="L9" s="11"/>
      <c r="N9" s="12"/>
      <c r="O9" s="12"/>
    </row>
    <row r="10" customFormat="false" ht="15" hidden="false" customHeight="false" outlineLevel="0" collapsed="false">
      <c r="B10" s="9"/>
      <c r="C10" s="9"/>
      <c r="D10" s="9"/>
      <c r="F10" s="10"/>
      <c r="G10" s="10"/>
      <c r="H10" s="10"/>
      <c r="J10" s="11"/>
      <c r="K10" s="11"/>
      <c r="L10" s="11"/>
      <c r="N10" s="12"/>
      <c r="O10" s="12"/>
    </row>
    <row r="12" customFormat="false" ht="15" hidden="false" customHeight="false" outlineLevel="0" collapsed="false">
      <c r="B12" s="13" t="s">
        <v>7</v>
      </c>
      <c r="C12" s="13"/>
      <c r="D12" s="13"/>
      <c r="F12" s="14" t="s">
        <v>8</v>
      </c>
      <c r="G12" s="14"/>
      <c r="H12" s="14"/>
      <c r="J12" s="15" t="s">
        <v>9</v>
      </c>
      <c r="K12" s="15"/>
      <c r="L12" s="15"/>
      <c r="N12" s="16" t="s">
        <v>10</v>
      </c>
      <c r="O12" s="16"/>
    </row>
    <row r="13" customFormat="false" ht="15" hidden="false" customHeight="false" outlineLevel="0" collapsed="false">
      <c r="B13" s="17" t="n">
        <v>8600</v>
      </c>
      <c r="C13" s="17"/>
      <c r="D13" s="17"/>
      <c r="F13" s="18" t="n">
        <v>28687.388</v>
      </c>
      <c r="G13" s="18"/>
      <c r="H13" s="18"/>
      <c r="J13" s="19" t="n">
        <v>18187.49</v>
      </c>
      <c r="K13" s="19"/>
      <c r="L13" s="19"/>
      <c r="N13" s="20" t="n">
        <v>161968.209387009</v>
      </c>
      <c r="O13" s="20"/>
    </row>
    <row r="14" customFormat="false" ht="15" hidden="false" customHeight="false" outlineLevel="0" collapsed="false">
      <c r="B14" s="17"/>
      <c r="C14" s="17"/>
      <c r="D14" s="17"/>
      <c r="F14" s="18"/>
      <c r="G14" s="18"/>
      <c r="H14" s="18"/>
      <c r="J14" s="19"/>
      <c r="K14" s="19"/>
      <c r="L14" s="19"/>
      <c r="N14" s="20"/>
      <c r="O14" s="20"/>
    </row>
    <row r="15" customFormat="false" ht="15" hidden="false" customHeight="false" outlineLevel="0" collapsed="false">
      <c r="B15" s="17"/>
      <c r="C15" s="17"/>
      <c r="D15" s="17"/>
      <c r="F15" s="18"/>
      <c r="G15" s="18"/>
      <c r="H15" s="18"/>
      <c r="J15" s="19"/>
      <c r="K15" s="19"/>
      <c r="L15" s="19"/>
      <c r="N15" s="20"/>
      <c r="O15" s="20"/>
    </row>
    <row r="18" customFormat="false" ht="15" hidden="false" customHeight="false" outlineLevel="0" collapsed="false">
      <c r="B18" s="21" t="s">
        <v>11</v>
      </c>
      <c r="C18" s="21"/>
      <c r="D18" s="21"/>
      <c r="E18" s="21"/>
      <c r="F18" s="21"/>
      <c r="G18" s="21"/>
      <c r="H18" s="21"/>
      <c r="J18" s="21" t="s">
        <v>12</v>
      </c>
      <c r="K18" s="21"/>
      <c r="L18" s="21"/>
      <c r="M18" s="21"/>
      <c r="N18" s="21"/>
      <c r="O18" s="21"/>
    </row>
    <row r="33" customFormat="false" ht="15" hidden="false" customHeight="false" outlineLevel="0" collapsed="false">
      <c r="B33" s="21" t="s">
        <v>13</v>
      </c>
      <c r="C33" s="21"/>
      <c r="D33" s="21"/>
      <c r="E33" s="21"/>
      <c r="F33" s="21"/>
      <c r="G33" s="21"/>
      <c r="H33" s="21"/>
      <c r="J33" s="21" t="s">
        <v>14</v>
      </c>
      <c r="K33" s="21"/>
      <c r="L33" s="21"/>
      <c r="M33" s="21"/>
      <c r="N33" s="21"/>
      <c r="O33" s="21"/>
    </row>
    <row r="34" customFormat="false" ht="15" hidden="false" customHeight="false" outlineLevel="0" collapsed="false">
      <c r="B34" s="22" t="s">
        <v>15</v>
      </c>
      <c r="C34" s="22" t="s">
        <v>16</v>
      </c>
      <c r="D34" s="22" t="s">
        <v>17</v>
      </c>
      <c r="E34" s="22" t="s">
        <v>5</v>
      </c>
      <c r="F34" s="22" t="s">
        <v>6</v>
      </c>
      <c r="G34" s="22" t="s">
        <v>18</v>
      </c>
      <c r="J34" s="22" t="s">
        <v>19</v>
      </c>
      <c r="K34" s="22" t="s">
        <v>20</v>
      </c>
      <c r="L34" s="22" t="s">
        <v>21</v>
      </c>
      <c r="N34" s="22" t="s">
        <v>22</v>
      </c>
      <c r="O34" s="22" t="s">
        <v>23</v>
      </c>
    </row>
    <row r="35" customFormat="false" ht="15" hidden="false" customHeight="false" outlineLevel="0" collapsed="false">
      <c r="B35" s="23" t="s">
        <v>24</v>
      </c>
      <c r="C35" s="24" t="n">
        <v>30260</v>
      </c>
      <c r="D35" s="24" t="n">
        <v>28429.69</v>
      </c>
      <c r="E35" s="24" t="n">
        <v>1830.31</v>
      </c>
      <c r="F35" s="25" t="n">
        <v>0.0604861202908129</v>
      </c>
      <c r="G35" s="23" t="s">
        <v>25</v>
      </c>
      <c r="J35" s="23" t="s">
        <v>26</v>
      </c>
      <c r="K35" s="24" t="n">
        <v>0</v>
      </c>
      <c r="L35" s="24" t="n">
        <v>24715.3929481447</v>
      </c>
      <c r="N35" s="23" t="s">
        <v>27</v>
      </c>
      <c r="O35" s="24" t="n">
        <v>950</v>
      </c>
    </row>
    <row r="36" customFormat="false" ht="15" hidden="false" customHeight="false" outlineLevel="0" collapsed="false">
      <c r="B36" s="23" t="s">
        <v>28</v>
      </c>
      <c r="C36" s="24" t="n">
        <v>29900</v>
      </c>
      <c r="D36" s="24" t="n">
        <v>29540.35</v>
      </c>
      <c r="E36" s="24" t="n">
        <v>359.649999999998</v>
      </c>
      <c r="F36" s="25" t="n">
        <v>0.0120284280936454</v>
      </c>
      <c r="G36" s="23" t="s">
        <v>25</v>
      </c>
      <c r="J36" s="23" t="s">
        <v>29</v>
      </c>
      <c r="K36" s="24" t="n">
        <v>1434.3694</v>
      </c>
      <c r="L36" s="24" t="n">
        <v>26149.7623481447</v>
      </c>
      <c r="N36" s="23" t="s">
        <v>30</v>
      </c>
      <c r="O36" s="24" t="n">
        <v>17927.01</v>
      </c>
    </row>
    <row r="37" customFormat="false" ht="15" hidden="false" customHeight="false" outlineLevel="0" collapsed="false">
      <c r="B37" s="23" t="s">
        <v>31</v>
      </c>
      <c r="C37" s="24" t="n">
        <v>29050</v>
      </c>
      <c r="D37" s="24" t="n">
        <v>28822.3</v>
      </c>
      <c r="E37" s="24" t="n">
        <v>227.699999999994</v>
      </c>
      <c r="F37" s="25" t="n">
        <v>0.00783820998278807</v>
      </c>
      <c r="G37" s="23" t="s">
        <v>25</v>
      </c>
      <c r="J37" s="23" t="s">
        <v>32</v>
      </c>
      <c r="K37" s="24" t="n">
        <v>2868.7388</v>
      </c>
      <c r="L37" s="24" t="n">
        <v>27584.1317481447</v>
      </c>
      <c r="N37" s="23" t="s">
        <v>33</v>
      </c>
      <c r="O37" s="24" t="n">
        <v>17796.73</v>
      </c>
    </row>
    <row r="38" customFormat="false" ht="15" hidden="false" customHeight="false" outlineLevel="0" collapsed="false">
      <c r="B38" s="23" t="s">
        <v>34</v>
      </c>
      <c r="C38" s="24" t="n">
        <v>0</v>
      </c>
      <c r="D38" s="24" t="n">
        <v>28322.3</v>
      </c>
      <c r="E38" s="24" t="n">
        <v>-28322.3</v>
      </c>
      <c r="F38" s="25" t="n">
        <v>0</v>
      </c>
      <c r="G38" s="23" t="s">
        <v>35</v>
      </c>
      <c r="J38" s="23" t="s">
        <v>36</v>
      </c>
      <c r="K38" s="24" t="n">
        <v>4303.1082</v>
      </c>
      <c r="L38" s="24" t="n">
        <v>29018.5011481447</v>
      </c>
      <c r="N38" s="23" t="s">
        <v>37</v>
      </c>
      <c r="O38" s="24" t="n">
        <v>17500</v>
      </c>
    </row>
    <row r="39" customFormat="false" ht="15" hidden="false" customHeight="false" outlineLevel="0" collapsed="false">
      <c r="B39" s="23" t="s">
        <v>38</v>
      </c>
      <c r="C39" s="24" t="n">
        <v>0</v>
      </c>
      <c r="D39" s="24" t="n">
        <v>28322.3</v>
      </c>
      <c r="E39" s="24" t="n">
        <v>-28322.3</v>
      </c>
      <c r="F39" s="25" t="n">
        <v>0</v>
      </c>
      <c r="G39" s="23" t="s">
        <v>35</v>
      </c>
      <c r="J39" s="23" t="s">
        <v>39</v>
      </c>
      <c r="K39" s="24" t="n">
        <v>5737.4776</v>
      </c>
      <c r="L39" s="24" t="n">
        <v>30452.8705481447</v>
      </c>
      <c r="N39" s="23" t="s">
        <v>40</v>
      </c>
      <c r="O39" s="24" t="n">
        <v>441.5</v>
      </c>
    </row>
    <row r="40" customFormat="false" ht="15" hidden="false" customHeight="false" outlineLevel="0" collapsed="false">
      <c r="B40" s="23" t="s">
        <v>41</v>
      </c>
      <c r="C40" s="24" t="n">
        <v>0</v>
      </c>
      <c r="D40" s="24" t="n">
        <v>0</v>
      </c>
      <c r="E40" s="24" t="n">
        <v>0</v>
      </c>
      <c r="F40" s="25" t="n">
        <v>0</v>
      </c>
      <c r="G40" s="23" t="s">
        <v>42</v>
      </c>
    </row>
    <row r="41" customFormat="false" ht="15" hidden="false" customHeight="false" outlineLevel="0" collapsed="false">
      <c r="B41" s="23" t="s">
        <v>43</v>
      </c>
      <c r="C41" s="24" t="n">
        <v>0</v>
      </c>
      <c r="D41" s="24" t="n">
        <v>0</v>
      </c>
      <c r="E41" s="24" t="n">
        <v>0</v>
      </c>
      <c r="F41" s="25" t="n">
        <v>0</v>
      </c>
      <c r="G41" s="23" t="s">
        <v>42</v>
      </c>
    </row>
    <row r="42" customFormat="false" ht="15" hidden="false" customHeight="false" outlineLevel="0" collapsed="false">
      <c r="B42" s="23" t="s">
        <v>44</v>
      </c>
      <c r="C42" s="24" t="n">
        <v>0</v>
      </c>
      <c r="D42" s="24" t="n">
        <v>0</v>
      </c>
      <c r="E42" s="24" t="n">
        <v>0</v>
      </c>
      <c r="F42" s="25" t="n">
        <v>0</v>
      </c>
      <c r="G42" s="23" t="s">
        <v>42</v>
      </c>
    </row>
    <row r="43" customFormat="false" ht="15" hidden="false" customHeight="false" outlineLevel="0" collapsed="false">
      <c r="B43" s="23" t="s">
        <v>45</v>
      </c>
      <c r="C43" s="24" t="n">
        <v>0</v>
      </c>
      <c r="D43" s="24" t="n">
        <v>0</v>
      </c>
      <c r="E43" s="24" t="n">
        <v>0</v>
      </c>
      <c r="F43" s="25" t="n">
        <v>0</v>
      </c>
      <c r="G43" s="23" t="s">
        <v>42</v>
      </c>
    </row>
    <row r="44" customFormat="false" ht="15" hidden="false" customHeight="false" outlineLevel="0" collapsed="false">
      <c r="B44" s="23" t="s">
        <v>46</v>
      </c>
      <c r="C44" s="24" t="n">
        <v>0</v>
      </c>
      <c r="D44" s="24" t="n">
        <v>0</v>
      </c>
      <c r="E44" s="24" t="n">
        <v>0</v>
      </c>
      <c r="F44" s="25" t="n">
        <v>0</v>
      </c>
      <c r="G44" s="23" t="s">
        <v>42</v>
      </c>
    </row>
    <row r="45" customFormat="false" ht="15" hidden="false" customHeight="false" outlineLevel="0" collapsed="false">
      <c r="B45" s="23" t="s">
        <v>47</v>
      </c>
      <c r="C45" s="24" t="n">
        <v>0</v>
      </c>
      <c r="D45" s="24" t="n">
        <v>0</v>
      </c>
      <c r="E45" s="24" t="n">
        <v>0</v>
      </c>
      <c r="F45" s="25" t="n">
        <v>0</v>
      </c>
      <c r="G45" s="23" t="s">
        <v>42</v>
      </c>
    </row>
    <row r="46" customFormat="false" ht="15" hidden="false" customHeight="false" outlineLevel="0" collapsed="false">
      <c r="B46" s="23" t="s">
        <v>48</v>
      </c>
      <c r="C46" s="24" t="n">
        <v>0</v>
      </c>
      <c r="D46" s="24" t="n">
        <v>0</v>
      </c>
      <c r="E46" s="24" t="n">
        <v>0</v>
      </c>
      <c r="F46" s="25" t="n">
        <v>0</v>
      </c>
      <c r="G46" s="23" t="s">
        <v>42</v>
      </c>
    </row>
  </sheetData>
  <mergeCells count="22">
    <mergeCell ref="B2:O2"/>
    <mergeCell ref="B5:O5"/>
    <mergeCell ref="B7:D7"/>
    <mergeCell ref="F7:H7"/>
    <mergeCell ref="J7:L7"/>
    <mergeCell ref="N7:O7"/>
    <mergeCell ref="B8:D10"/>
    <mergeCell ref="F8:H10"/>
    <mergeCell ref="J8:L10"/>
    <mergeCell ref="N8:O10"/>
    <mergeCell ref="B12:D12"/>
    <mergeCell ref="F12:H12"/>
    <mergeCell ref="J12:L12"/>
    <mergeCell ref="N12:O12"/>
    <mergeCell ref="B13:D15"/>
    <mergeCell ref="F13:H15"/>
    <mergeCell ref="J13:L15"/>
    <mergeCell ref="N13:O15"/>
    <mergeCell ref="B18:H18"/>
    <mergeCell ref="J18:O18"/>
    <mergeCell ref="B33:H33"/>
    <mergeCell ref="J33:O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5" min="2" style="1" width="16"/>
    <col collapsed="false" customWidth="true" hidden="false" outlineLevel="0" max="6" min="6" style="1" width="13"/>
    <col collapsed="false" customWidth="true" hidden="false" outlineLevel="0" max="7" min="7" style="1" width="18"/>
    <col collapsed="false" customWidth="true" hidden="false" outlineLevel="0" max="8" min="8" style="1" width="16"/>
    <col collapsed="false" customWidth="true" hidden="false" outlineLevel="0" max="9" min="9" style="1" width="13"/>
    <col collapsed="false" customWidth="true" hidden="false" outlineLevel="0" max="10" min="10" style="1" width="18"/>
  </cols>
  <sheetData>
    <row r="1" customFormat="false" ht="19.7" hidden="false" customHeight="false" outlineLevel="0" collapsed="false">
      <c r="A1" s="26" t="s">
        <v>49</v>
      </c>
    </row>
    <row r="2" customFormat="false" ht="15" hidden="false" customHeight="false" outlineLevel="0" collapsed="false">
      <c r="A2" s="3" t="s">
        <v>50</v>
      </c>
    </row>
    <row r="4" customFormat="false" ht="15" hidden="false" customHeight="false" outlineLevel="0" collapsed="false">
      <c r="A4" s="27" t="s">
        <v>51</v>
      </c>
      <c r="B4" s="27" t="s">
        <v>52</v>
      </c>
      <c r="C4" s="27" t="s">
        <v>7</v>
      </c>
      <c r="D4" s="27" t="s">
        <v>53</v>
      </c>
      <c r="E4" s="27" t="s">
        <v>5</v>
      </c>
      <c r="F4" s="27" t="s">
        <v>6</v>
      </c>
      <c r="G4" s="27" t="s">
        <v>54</v>
      </c>
      <c r="H4" s="27" t="s">
        <v>55</v>
      </c>
      <c r="I4" s="27" t="s">
        <v>56</v>
      </c>
      <c r="J4" s="27" t="s">
        <v>57</v>
      </c>
    </row>
    <row r="5" customFormat="false" ht="15" hidden="false" customHeight="false" outlineLevel="0" collapsed="false">
      <c r="A5" s="28" t="s">
        <v>24</v>
      </c>
      <c r="B5" s="29" t="n">
        <f aca="false">SUMIF('Base Receitas'!$A:$A,$A5,'Base Receitas'!$F:$F)</f>
        <v>30260</v>
      </c>
      <c r="C5" s="29" t="n">
        <f aca="false">SUMIF('Base Receitas'!$A:$A,$A5,'Base Receitas'!$J:$J)</f>
        <v>1500</v>
      </c>
      <c r="D5" s="29" t="n">
        <f aca="false">SUMIF('Base Despesas'!$A:$A,$A5,'Base Despesas'!$D:$D)</f>
        <v>28429.69</v>
      </c>
      <c r="E5" s="29" t="n">
        <f aca="false">B5-D5</f>
        <v>1830.31</v>
      </c>
      <c r="F5" s="30" t="n">
        <f aca="false">IFERROR(E5/B5,0)</f>
        <v>0.060486120290813</v>
      </c>
      <c r="G5" s="29" t="n">
        <f aca="false">B5-C5</f>
        <v>28760</v>
      </c>
      <c r="H5" s="28" t="str">
        <f aca="false">IF(E5&gt;0,"🟢 Saudável",IF(E5&gt;-1000,"🟡 Atenção","🔴 Rever"))</f>
        <v>🟢 Saudável</v>
      </c>
      <c r="I5" s="29" t="n">
        <f aca="false">D5*5%</f>
        <v>1421.4845</v>
      </c>
      <c r="J5" s="29" t="n">
        <f aca="false">B5-(D5*95%)</f>
        <v>3251.7945</v>
      </c>
    </row>
    <row r="6" customFormat="false" ht="15" hidden="false" customHeight="false" outlineLevel="0" collapsed="false">
      <c r="A6" s="28" t="s">
        <v>28</v>
      </c>
      <c r="B6" s="29" t="n">
        <f aca="false">SUMIF('Base Receitas'!$A:$A,$A6,'Base Receitas'!$F:$F)</f>
        <v>29900</v>
      </c>
      <c r="C6" s="29" t="n">
        <f aca="false">SUMIF('Base Receitas'!$A:$A,$A6,'Base Receitas'!$J:$J)</f>
        <v>7100</v>
      </c>
      <c r="D6" s="29" t="n">
        <f aca="false">SUMIF('Base Despesas'!$A:$A,$A6,'Base Despesas'!$D:$D)</f>
        <v>29540.35</v>
      </c>
      <c r="E6" s="29" t="n">
        <f aca="false">B6-D6</f>
        <v>359.650000000001</v>
      </c>
      <c r="F6" s="30" t="n">
        <f aca="false">IFERROR(E6/B6,0)</f>
        <v>0.0120284280936455</v>
      </c>
      <c r="G6" s="29" t="n">
        <f aca="false">B6-C6</f>
        <v>22800</v>
      </c>
      <c r="H6" s="28" t="str">
        <f aca="false">IF(E6&gt;0,"🟢 Saudável",IF(E6&gt;-1000,"🟡 Atenção","🔴 Rever"))</f>
        <v>🟢 Saudável</v>
      </c>
      <c r="I6" s="29" t="n">
        <f aca="false">D6*5%</f>
        <v>1477.0175</v>
      </c>
      <c r="J6" s="29" t="n">
        <f aca="false">B6-(D6*95%)</f>
        <v>1836.6675</v>
      </c>
    </row>
    <row r="7" customFormat="false" ht="15" hidden="false" customHeight="false" outlineLevel="0" collapsed="false">
      <c r="A7" s="28" t="s">
        <v>31</v>
      </c>
      <c r="B7" s="29" t="n">
        <f aca="false">SUMIF('Base Receitas'!$A:$A,$A7,'Base Receitas'!$F:$F)</f>
        <v>29050</v>
      </c>
      <c r="C7" s="29" t="n">
        <f aca="false">SUMIF('Base Receitas'!$A:$A,$A7,'Base Receitas'!$J:$J)</f>
        <v>0</v>
      </c>
      <c r="D7" s="29" t="n">
        <f aca="false">SUMIF('Base Despesas'!$A:$A,$A7,'Base Despesas'!$D:$D)</f>
        <v>28622.3</v>
      </c>
      <c r="E7" s="29" t="n">
        <f aca="false">B7-D7</f>
        <v>427.700000000001</v>
      </c>
      <c r="F7" s="30" t="n">
        <f aca="false">IFERROR(E7/B7,0)</f>
        <v>0.0147228915662651</v>
      </c>
      <c r="G7" s="29" t="n">
        <f aca="false">B7-C7</f>
        <v>29050</v>
      </c>
      <c r="H7" s="28" t="str">
        <f aca="false">IF(E7&gt;0,"🟢 Saudável",IF(E7&gt;-1000,"🟡 Atenção","🔴 Rever"))</f>
        <v>🟢 Saudável</v>
      </c>
      <c r="I7" s="29" t="n">
        <f aca="false">D7*5%</f>
        <v>1431.115</v>
      </c>
      <c r="J7" s="29" t="n">
        <f aca="false">B7-(D7*95%)</f>
        <v>1858.815</v>
      </c>
    </row>
    <row r="8" customFormat="false" ht="15" hidden="false" customHeight="false" outlineLevel="0" collapsed="false">
      <c r="A8" s="28" t="s">
        <v>34</v>
      </c>
      <c r="B8" s="29" t="n">
        <f aca="false">SUMIF('Base Receitas'!$A:$A,$A8,'Base Receitas'!$F:$F)</f>
        <v>0</v>
      </c>
      <c r="C8" s="29" t="n">
        <f aca="false">SUMIF('Base Receitas'!$A:$A,$A8,'Base Receitas'!$J:$J)</f>
        <v>0</v>
      </c>
      <c r="D8" s="29" t="n">
        <f aca="false">SUMIF('Base Despesas'!$A:$A,$A8,'Base Despesas'!$D:$D)</f>
        <v>28322.3</v>
      </c>
      <c r="E8" s="29" t="n">
        <f aca="false">B8-D8</f>
        <v>-28322.3</v>
      </c>
      <c r="F8" s="30" t="n">
        <f aca="false">IFERROR(E8/B8,0)</f>
        <v>0</v>
      </c>
      <c r="G8" s="29" t="n">
        <f aca="false">B8-C8</f>
        <v>0</v>
      </c>
      <c r="H8" s="28" t="str">
        <f aca="false">IF(E8&gt;0,"🟢 Saudável",IF(E8&gt;-1000,"🟡 Atenção","🔴 Rever"))</f>
        <v>🔴 Rever</v>
      </c>
      <c r="I8" s="29" t="n">
        <f aca="false">D8*5%</f>
        <v>1416.115</v>
      </c>
      <c r="J8" s="29" t="n">
        <f aca="false">B8-(D8*95%)</f>
        <v>-26906.185</v>
      </c>
    </row>
    <row r="9" customFormat="false" ht="15" hidden="false" customHeight="false" outlineLevel="0" collapsed="false">
      <c r="A9" s="28" t="s">
        <v>38</v>
      </c>
      <c r="B9" s="29" t="n">
        <f aca="false">SUMIF('Base Receitas'!$A:$A,$A9,'Base Receitas'!$F:$F)</f>
        <v>0</v>
      </c>
      <c r="C9" s="29" t="n">
        <f aca="false">SUMIF('Base Receitas'!$A:$A,$A9,'Base Receitas'!$J:$J)</f>
        <v>0</v>
      </c>
      <c r="D9" s="29" t="n">
        <f aca="false">SUMIF('Base Despesas'!$A:$A,$A9,'Base Despesas'!$D:$D)</f>
        <v>28322.3</v>
      </c>
      <c r="E9" s="29" t="n">
        <f aca="false">B9-D9</f>
        <v>-28322.3</v>
      </c>
      <c r="F9" s="30" t="n">
        <f aca="false">IFERROR(E9/B9,0)</f>
        <v>0</v>
      </c>
      <c r="G9" s="29" t="n">
        <f aca="false">B9-C9</f>
        <v>0</v>
      </c>
      <c r="H9" s="28" t="str">
        <f aca="false">IF(E9&gt;0,"🟢 Saudável",IF(E9&gt;-1000,"🟡 Atenção","🔴 Rever"))</f>
        <v>🔴 Rever</v>
      </c>
      <c r="I9" s="29" t="n">
        <f aca="false">D9*5%</f>
        <v>1416.115</v>
      </c>
      <c r="J9" s="29" t="n">
        <f aca="false">B9-(D9*95%)</f>
        <v>-26906.185</v>
      </c>
    </row>
    <row r="10" customFormat="false" ht="15" hidden="false" customHeight="false" outlineLevel="0" collapsed="false">
      <c r="A10" s="28" t="s">
        <v>41</v>
      </c>
      <c r="B10" s="29" t="n">
        <f aca="false">SUMIF('Base Receitas'!$A:$A,$A10,'Base Receitas'!$F:$F)</f>
        <v>0</v>
      </c>
      <c r="C10" s="29" t="n">
        <f aca="false">SUMIF('Base Receitas'!$A:$A,$A10,'Base Receitas'!$J:$J)</f>
        <v>0</v>
      </c>
      <c r="D10" s="29" t="n">
        <f aca="false">SUMIF('Base Despesas'!$A:$A,$A10,'Base Despesas'!$D:$D)</f>
        <v>0</v>
      </c>
      <c r="E10" s="29" t="n">
        <f aca="false">B10-D10</f>
        <v>0</v>
      </c>
      <c r="F10" s="30" t="n">
        <f aca="false">IFERROR(E10/B10,0)</f>
        <v>0</v>
      </c>
      <c r="G10" s="29" t="n">
        <f aca="false">B10-C10</f>
        <v>0</v>
      </c>
      <c r="H10" s="28" t="str">
        <f aca="false">IF(E10&gt;0,"🟢 Saudável",IF(E10&gt;-1000,"🟡 Atenção","🔴 Rever"))</f>
        <v>🟡 Atenção</v>
      </c>
      <c r="I10" s="29" t="n">
        <f aca="false">D10*5%</f>
        <v>0</v>
      </c>
      <c r="J10" s="29" t="n">
        <f aca="false">B10-(D10*95%)</f>
        <v>0</v>
      </c>
    </row>
    <row r="11" customFormat="false" ht="15" hidden="false" customHeight="false" outlineLevel="0" collapsed="false">
      <c r="A11" s="28" t="s">
        <v>43</v>
      </c>
      <c r="B11" s="29" t="n">
        <f aca="false">SUMIF('Base Receitas'!$A:$A,$A11,'Base Receitas'!$F:$F)</f>
        <v>0</v>
      </c>
      <c r="C11" s="29" t="n">
        <f aca="false">SUMIF('Base Receitas'!$A:$A,$A11,'Base Receitas'!$J:$J)</f>
        <v>0</v>
      </c>
      <c r="D11" s="29" t="n">
        <f aca="false">SUMIF('Base Despesas'!$A:$A,$A11,'Base Despesas'!$D:$D)</f>
        <v>0</v>
      </c>
      <c r="E11" s="29" t="n">
        <f aca="false">B11-D11</f>
        <v>0</v>
      </c>
      <c r="F11" s="30" t="n">
        <f aca="false">IFERROR(E11/B11,0)</f>
        <v>0</v>
      </c>
      <c r="G11" s="29" t="n">
        <f aca="false">B11-C11</f>
        <v>0</v>
      </c>
      <c r="H11" s="28" t="str">
        <f aca="false">IF(E11&gt;0,"🟢 Saudável",IF(E11&gt;-1000,"🟡 Atenção","🔴 Rever"))</f>
        <v>🟡 Atenção</v>
      </c>
      <c r="I11" s="29" t="n">
        <f aca="false">D11*5%</f>
        <v>0</v>
      </c>
      <c r="J11" s="29" t="n">
        <f aca="false">B11-(D11*95%)</f>
        <v>0</v>
      </c>
    </row>
    <row r="12" customFormat="false" ht="15" hidden="false" customHeight="false" outlineLevel="0" collapsed="false">
      <c r="A12" s="28" t="s">
        <v>44</v>
      </c>
      <c r="B12" s="29" t="n">
        <f aca="false">SUMIF('Base Receitas'!$A:$A,$A12,'Base Receitas'!$F:$F)</f>
        <v>0</v>
      </c>
      <c r="C12" s="29" t="n">
        <f aca="false">SUMIF('Base Receitas'!$A:$A,$A12,'Base Receitas'!$J:$J)</f>
        <v>0</v>
      </c>
      <c r="D12" s="29" t="n">
        <f aca="false">SUMIF('Base Despesas'!$A:$A,$A12,'Base Despesas'!$D:$D)</f>
        <v>0</v>
      </c>
      <c r="E12" s="29" t="n">
        <f aca="false">B12-D12</f>
        <v>0</v>
      </c>
      <c r="F12" s="30" t="n">
        <f aca="false">IFERROR(E12/B12,0)</f>
        <v>0</v>
      </c>
      <c r="G12" s="29" t="n">
        <f aca="false">B12-C12</f>
        <v>0</v>
      </c>
      <c r="H12" s="28" t="str">
        <f aca="false">IF(E12&gt;0,"🟢 Saudável",IF(E12&gt;-1000,"🟡 Atenção","🔴 Rever"))</f>
        <v>🟡 Atenção</v>
      </c>
      <c r="I12" s="29" t="n">
        <f aca="false">D12*5%</f>
        <v>0</v>
      </c>
      <c r="J12" s="29" t="n">
        <f aca="false">B12-(D12*95%)</f>
        <v>0</v>
      </c>
    </row>
    <row r="13" customFormat="false" ht="15" hidden="false" customHeight="false" outlineLevel="0" collapsed="false">
      <c r="A13" s="28" t="s">
        <v>45</v>
      </c>
      <c r="B13" s="29" t="n">
        <f aca="false">SUMIF('Base Receitas'!$A:$A,$A13,'Base Receitas'!$F:$F)</f>
        <v>0</v>
      </c>
      <c r="C13" s="29" t="n">
        <f aca="false">SUMIF('Base Receitas'!$A:$A,$A13,'Base Receitas'!$J:$J)</f>
        <v>0</v>
      </c>
      <c r="D13" s="29" t="n">
        <f aca="false">SUMIF('Base Despesas'!$A:$A,$A13,'Base Despesas'!$D:$D)</f>
        <v>0</v>
      </c>
      <c r="E13" s="29" t="n">
        <f aca="false">B13-D13</f>
        <v>0</v>
      </c>
      <c r="F13" s="30" t="n">
        <f aca="false">IFERROR(E13/B13,0)</f>
        <v>0</v>
      </c>
      <c r="G13" s="29" t="n">
        <f aca="false">B13-C13</f>
        <v>0</v>
      </c>
      <c r="H13" s="28" t="str">
        <f aca="false">IF(E13&gt;0,"🟢 Saudável",IF(E13&gt;-1000,"🟡 Atenção","🔴 Rever"))</f>
        <v>🟡 Atenção</v>
      </c>
      <c r="I13" s="29" t="n">
        <f aca="false">D13*5%</f>
        <v>0</v>
      </c>
      <c r="J13" s="29" t="n">
        <f aca="false">B13-(D13*95%)</f>
        <v>0</v>
      </c>
    </row>
    <row r="14" customFormat="false" ht="15" hidden="false" customHeight="false" outlineLevel="0" collapsed="false">
      <c r="A14" s="28" t="s">
        <v>46</v>
      </c>
      <c r="B14" s="29" t="n">
        <f aca="false">SUMIF('Base Receitas'!$A:$A,$A14,'Base Receitas'!$F:$F)</f>
        <v>0</v>
      </c>
      <c r="C14" s="29" t="n">
        <f aca="false">SUMIF('Base Receitas'!$A:$A,$A14,'Base Receitas'!$J:$J)</f>
        <v>0</v>
      </c>
      <c r="D14" s="29" t="n">
        <f aca="false">SUMIF('Base Despesas'!$A:$A,$A14,'Base Despesas'!$D:$D)</f>
        <v>0</v>
      </c>
      <c r="E14" s="29" t="n">
        <f aca="false">B14-D14</f>
        <v>0</v>
      </c>
      <c r="F14" s="30" t="n">
        <f aca="false">IFERROR(E14/B14,0)</f>
        <v>0</v>
      </c>
      <c r="G14" s="29" t="n">
        <f aca="false">B14-C14</f>
        <v>0</v>
      </c>
      <c r="H14" s="28" t="str">
        <f aca="false">IF(E14&gt;0,"🟢 Saudável",IF(E14&gt;-1000,"🟡 Atenção","🔴 Rever"))</f>
        <v>🟡 Atenção</v>
      </c>
      <c r="I14" s="29" t="n">
        <f aca="false">D14*5%</f>
        <v>0</v>
      </c>
      <c r="J14" s="29" t="n">
        <f aca="false">B14-(D14*95%)</f>
        <v>0</v>
      </c>
    </row>
    <row r="15" customFormat="false" ht="15" hidden="false" customHeight="false" outlineLevel="0" collapsed="false">
      <c r="A15" s="28" t="s">
        <v>47</v>
      </c>
      <c r="B15" s="29" t="n">
        <f aca="false">SUMIF('Base Receitas'!$A:$A,$A15,'Base Receitas'!$F:$F)</f>
        <v>0</v>
      </c>
      <c r="C15" s="29" t="n">
        <f aca="false">SUMIF('Base Receitas'!$A:$A,$A15,'Base Receitas'!$J:$J)</f>
        <v>0</v>
      </c>
      <c r="D15" s="29" t="n">
        <f aca="false">SUMIF('Base Despesas'!$A:$A,$A15,'Base Despesas'!$D:$D)</f>
        <v>0</v>
      </c>
      <c r="E15" s="29" t="n">
        <f aca="false">B15-D15</f>
        <v>0</v>
      </c>
      <c r="F15" s="30" t="n">
        <f aca="false">IFERROR(E15/B15,0)</f>
        <v>0</v>
      </c>
      <c r="G15" s="29" t="n">
        <f aca="false">B15-C15</f>
        <v>0</v>
      </c>
      <c r="H15" s="28" t="str">
        <f aca="false">IF(E15&gt;0,"🟢 Saudável",IF(E15&gt;-1000,"🟡 Atenção","🔴 Rever"))</f>
        <v>🟡 Atenção</v>
      </c>
      <c r="I15" s="29" t="n">
        <f aca="false">D15*5%</f>
        <v>0</v>
      </c>
      <c r="J15" s="29" t="n">
        <f aca="false">B15-(D15*95%)</f>
        <v>0</v>
      </c>
    </row>
    <row r="16" customFormat="false" ht="15" hidden="false" customHeight="false" outlineLevel="0" collapsed="false">
      <c r="A16" s="28" t="s">
        <v>48</v>
      </c>
      <c r="B16" s="29" t="n">
        <f aca="false">SUMIF('Base Receitas'!$A:$A,$A16,'Base Receitas'!$F:$F)</f>
        <v>0</v>
      </c>
      <c r="C16" s="29" t="n">
        <f aca="false">SUMIF('Base Receitas'!$A:$A,$A16,'Base Receitas'!$J:$J)</f>
        <v>0</v>
      </c>
      <c r="D16" s="29" t="n">
        <f aca="false">SUMIF('Base Despesas'!$A:$A,$A16,'Base Despesas'!$D:$D)</f>
        <v>0</v>
      </c>
      <c r="E16" s="29" t="n">
        <f aca="false">B16-D16</f>
        <v>0</v>
      </c>
      <c r="F16" s="30" t="n">
        <f aca="false">IFERROR(E16/B16,0)</f>
        <v>0</v>
      </c>
      <c r="G16" s="29" t="n">
        <f aca="false">B16-C16</f>
        <v>0</v>
      </c>
      <c r="H16" s="28" t="str">
        <f aca="false">IF(E16&gt;0,"🟢 Saudável",IF(E16&gt;-1000,"🟡 Atenção","🔴 Rever"))</f>
        <v>🟡 Atenção</v>
      </c>
      <c r="I16" s="29" t="n">
        <f aca="false">D16*5%</f>
        <v>0</v>
      </c>
      <c r="J16" s="29" t="n">
        <f aca="false">B16-(D16*95%)</f>
        <v>0</v>
      </c>
    </row>
    <row r="17" customFormat="false" ht="15" hidden="false" customHeight="false" outlineLevel="0" collapsed="false">
      <c r="A17" s="31" t="s">
        <v>58</v>
      </c>
      <c r="B17" s="32" t="n">
        <f aca="false">SUM(B5:B16)</f>
        <v>89210</v>
      </c>
      <c r="C17" s="32" t="n">
        <f aca="false">SUM(C5:C16)</f>
        <v>8600</v>
      </c>
      <c r="D17" s="32" t="n">
        <f aca="false">SUM(D5:D16)</f>
        <v>143236.94</v>
      </c>
      <c r="E17" s="32" t="n">
        <f aca="false">SUM(E5:E16)</f>
        <v>-54026.94</v>
      </c>
      <c r="F17" s="33" t="n">
        <f aca="false">IFERROR(E17/B17,0)</f>
        <v>-0.605615289765721</v>
      </c>
      <c r="G17" s="32" t="n">
        <f aca="false">SUM(G5:G16)</f>
        <v>80610</v>
      </c>
      <c r="H17" s="31" t="str">
        <f aca="false">IF(E17&gt;0,"🟢 Saudável",IF(E17&gt;-1000,"🟡 Atenção","🔴 Rever"))</f>
        <v>🔴 Rever</v>
      </c>
      <c r="I17" s="32" t="n">
        <f aca="false">SUM(I5:I16)</f>
        <v>7161.847</v>
      </c>
      <c r="J17" s="32" t="n">
        <f aca="false">B17-(D17*95%)</f>
        <v>-46865.093</v>
      </c>
    </row>
    <row r="21" customFormat="false" ht="15" hidden="false" customHeight="false" outlineLevel="0" collapsed="false">
      <c r="A21" s="34" t="s">
        <v>59</v>
      </c>
      <c r="F21" s="34" t="s">
        <v>60</v>
      </c>
    </row>
    <row r="22" customFormat="false" ht="15" hidden="false" customHeight="false" outlineLevel="0" collapsed="false">
      <c r="A22" s="22" t="s">
        <v>22</v>
      </c>
      <c r="B22" s="22" t="s">
        <v>4</v>
      </c>
      <c r="C22" s="22" t="s">
        <v>61</v>
      </c>
      <c r="F22" s="22" t="s">
        <v>62</v>
      </c>
      <c r="G22" s="22" t="s">
        <v>3</v>
      </c>
      <c r="H22" s="22" t="s">
        <v>7</v>
      </c>
      <c r="I22" s="22" t="s">
        <v>63</v>
      </c>
    </row>
    <row r="23" customFormat="false" ht="15" hidden="false" customHeight="false" outlineLevel="0" collapsed="false">
      <c r="A23" s="23" t="s">
        <v>27</v>
      </c>
      <c r="B23" s="24" t="n">
        <f aca="false">SUMIF('Base Despesas'!$B:$B,$A23,'Base Despesas'!$D:$D)</f>
        <v>950</v>
      </c>
      <c r="C23" s="25" t="n">
        <f aca="false">IFERROR(B23/$D$17,0)</f>
        <v>0.00663236732088803</v>
      </c>
      <c r="F23" s="23" t="s">
        <v>64</v>
      </c>
      <c r="G23" s="24" t="n">
        <f aca="false">SUMIF('Base Receitas'!$C:$C,$F23,'Base Receitas'!$F:$F)</f>
        <v>5700</v>
      </c>
      <c r="H23" s="24" t="n">
        <f aca="false">SUMIF('Base Receitas'!$C:$C,$F23,'Base Receitas'!$J:$J)</f>
        <v>0</v>
      </c>
      <c r="I23" s="23" t="str">
        <f aca="false">IF(H23=0,"OK","Cobrar")</f>
        <v>OK</v>
      </c>
    </row>
    <row r="24" customFormat="false" ht="15" hidden="false" customHeight="false" outlineLevel="0" collapsed="false">
      <c r="A24" s="23" t="s">
        <v>30</v>
      </c>
      <c r="B24" s="24" t="n">
        <f aca="false">SUMIF('Base Despesas'!$B:$B,$A24,'Base Despesas'!$D:$D)</f>
        <v>17727.01</v>
      </c>
      <c r="C24" s="25" t="n">
        <f aca="false">IFERROR(B24/$D$17,0)</f>
        <v>0.123760044022164</v>
      </c>
      <c r="F24" s="23" t="s">
        <v>65</v>
      </c>
      <c r="G24" s="24" t="n">
        <f aca="false">SUMIF('Base Receitas'!$C:$C,$F24,'Base Receitas'!$F:$F)</f>
        <v>0</v>
      </c>
      <c r="H24" s="24" t="n">
        <f aca="false">SUMIF('Base Receitas'!$C:$C,$F24,'Base Receitas'!$J:$J)</f>
        <v>0</v>
      </c>
      <c r="I24" s="23" t="str">
        <f aca="false">IF(H24=0,"OK","Cobrar")</f>
        <v>OK</v>
      </c>
    </row>
    <row r="25" customFormat="false" ht="15" hidden="false" customHeight="false" outlineLevel="0" collapsed="false">
      <c r="A25" s="23" t="s">
        <v>33</v>
      </c>
      <c r="B25" s="24" t="n">
        <f aca="false">SUMIF('Base Despesas'!$B:$B,$A25,'Base Despesas'!$D:$D)</f>
        <v>17796.73</v>
      </c>
      <c r="C25" s="25" t="n">
        <f aca="false">IFERROR(B25/$D$17,0)</f>
        <v>0.124246789969124</v>
      </c>
      <c r="F25" s="23" t="s">
        <v>66</v>
      </c>
      <c r="G25" s="24" t="n">
        <f aca="false">SUMIF('Base Receitas'!$C:$C,$F25,'Base Receitas'!$F:$F)</f>
        <v>0</v>
      </c>
      <c r="H25" s="24" t="n">
        <f aca="false">SUMIF('Base Receitas'!$C:$C,$F25,'Base Receitas'!$J:$J)</f>
        <v>0</v>
      </c>
      <c r="I25" s="23" t="str">
        <f aca="false">IF(H25=0,"OK","Cobrar")</f>
        <v>OK</v>
      </c>
    </row>
    <row r="26" customFormat="false" ht="15" hidden="false" customHeight="false" outlineLevel="0" collapsed="false">
      <c r="A26" s="23" t="s">
        <v>37</v>
      </c>
      <c r="B26" s="24" t="n">
        <f aca="false">SUMIF('Base Despesas'!$B:$B,$A26,'Base Despesas'!$D:$D)</f>
        <v>17500</v>
      </c>
      <c r="C26" s="25" t="n">
        <f aca="false">IFERROR(B26/$D$17,0)</f>
        <v>0.122175187490043</v>
      </c>
      <c r="F26" s="23" t="s">
        <v>67</v>
      </c>
      <c r="G26" s="24" t="n">
        <f aca="false">SUMIF('Base Receitas'!$C:$C,$F26,'Base Receitas'!$F:$F)</f>
        <v>0</v>
      </c>
      <c r="H26" s="24" t="n">
        <f aca="false">SUMIF('Base Receitas'!$C:$C,$F26,'Base Receitas'!$J:$J)</f>
        <v>0</v>
      </c>
      <c r="I26" s="23" t="str">
        <f aca="false">IF(H26=0,"OK","Cobrar")</f>
        <v>OK</v>
      </c>
    </row>
    <row r="27" customFormat="false" ht="15" hidden="false" customHeight="false" outlineLevel="0" collapsed="false">
      <c r="A27" s="23" t="s">
        <v>40</v>
      </c>
      <c r="B27" s="24" t="n">
        <f aca="false">SUMIF('Base Despesas'!$B:$B,$A27,'Base Despesas'!$D:$D)</f>
        <v>441.5</v>
      </c>
      <c r="C27" s="25" t="n">
        <f aca="false">IFERROR(B27/$D$17,0)</f>
        <v>0.00308230544439165</v>
      </c>
      <c r="F27" s="23" t="s">
        <v>68</v>
      </c>
      <c r="G27" s="24" t="n">
        <f aca="false">SUMIF('Base Receitas'!$C:$C,$F27,'Base Receitas'!$F:$F)</f>
        <v>1360</v>
      </c>
      <c r="H27" s="24" t="n">
        <f aca="false">SUMIF('Base Receitas'!$C:$C,$F27,'Base Receitas'!$J:$J)</f>
        <v>0</v>
      </c>
      <c r="I27" s="23" t="str">
        <f aca="false">IF(H27=0,"OK","Cobrar")</f>
        <v>OK</v>
      </c>
    </row>
    <row r="28" customFormat="false" ht="15" hidden="false" customHeight="false" outlineLevel="0" collapsed="false">
      <c r="A28" s="23" t="s">
        <v>69</v>
      </c>
      <c r="B28" s="24" t="n">
        <f aca="false">SUMIF('Base Despesas'!$B:$B,$A28,'Base Despesas'!$D:$D)</f>
        <v>88821.7</v>
      </c>
      <c r="C28" s="25" t="n">
        <f aca="false">IFERROR(B28/$D$17,0)</f>
        <v>0.62010330575339</v>
      </c>
      <c r="F28" s="23" t="s">
        <v>70</v>
      </c>
      <c r="G28" s="24" t="n">
        <f aca="false">SUMIF('Base Receitas'!$C:$C,$F28,'Base Receitas'!$F:$F)</f>
        <v>0</v>
      </c>
      <c r="H28" s="24" t="n">
        <f aca="false">SUMIF('Base Receitas'!$C:$C,$F28,'Base Receitas'!$J:$J)</f>
        <v>0</v>
      </c>
      <c r="I28" s="23" t="str">
        <f aca="false">IF(H28=0,"OK","Cobrar")</f>
        <v>OK</v>
      </c>
    </row>
    <row r="29" customFormat="false" ht="15" hidden="false" customHeight="false" outlineLevel="0" collapsed="false">
      <c r="F29" s="23" t="s">
        <v>71</v>
      </c>
      <c r="G29" s="24" t="n">
        <f aca="false">SUMIF('Base Receitas'!$C:$C,$F29,'Base Receitas'!$F:$F)</f>
        <v>6000</v>
      </c>
      <c r="H29" s="24" t="n">
        <f aca="false">SUMIF('Base Receitas'!$C:$C,$F29,'Base Receitas'!$J:$J)</f>
        <v>2000</v>
      </c>
      <c r="I29" s="23" t="str">
        <f aca="false">IF(H29=0,"OK","Cobrar")</f>
        <v>Cobrar</v>
      </c>
    </row>
    <row r="30" customFormat="false" ht="15" hidden="false" customHeight="false" outlineLevel="0" collapsed="false">
      <c r="F30" s="23" t="s">
        <v>72</v>
      </c>
      <c r="G30" s="24" t="n">
        <f aca="false">SUMIF('Base Receitas'!$C:$C,$F30,'Base Receitas'!$F:$F)</f>
        <v>7500</v>
      </c>
      <c r="H30" s="24" t="n">
        <f aca="false">SUMIF('Base Receitas'!$C:$C,$F30,'Base Receitas'!$J:$J)</f>
        <v>0</v>
      </c>
      <c r="I30" s="23" t="str">
        <f aca="false">IF(H30=0,"OK","Cobrar")</f>
        <v>OK</v>
      </c>
    </row>
    <row r="31" customFormat="false" ht="15" hidden="false" customHeight="false" outlineLevel="0" collapsed="false">
      <c r="F31" s="23" t="s">
        <v>73</v>
      </c>
      <c r="G31" s="24" t="n">
        <f aca="false">SUMIF('Base Receitas'!$C:$C,$F31,'Base Receitas'!$F:$F)</f>
        <v>3600</v>
      </c>
      <c r="H31" s="24" t="n">
        <f aca="false">SUMIF('Base Receitas'!$C:$C,$F31,'Base Receitas'!$J:$J)</f>
        <v>0</v>
      </c>
      <c r="I31" s="23" t="str">
        <f aca="false">IF(H31=0,"OK","Cobrar")</f>
        <v>OK</v>
      </c>
    </row>
    <row r="32" customFormat="false" ht="15" hidden="false" customHeight="false" outlineLevel="0" collapsed="false">
      <c r="F32" s="23" t="s">
        <v>74</v>
      </c>
      <c r="G32" s="24" t="n">
        <f aca="false">SUMIF('Base Receitas'!$C:$C,$F32,'Base Receitas'!$F:$F)</f>
        <v>0</v>
      </c>
      <c r="H32" s="24" t="n">
        <f aca="false">SUMIF('Base Receitas'!$C:$C,$F32,'Base Receitas'!$J:$J)</f>
        <v>0</v>
      </c>
      <c r="I32" s="23" t="str">
        <f aca="false">IF(H32=0,"OK","Cobrar")</f>
        <v>OK</v>
      </c>
    </row>
    <row r="33" customFormat="false" ht="15" hidden="false" customHeight="false" outlineLevel="0" collapsed="false">
      <c r="F33" s="23" t="s">
        <v>75</v>
      </c>
      <c r="G33" s="24" t="n">
        <f aca="false">SUMIF('Base Receitas'!$C:$C,$F33,'Base Receitas'!$F:$F)</f>
        <v>7500</v>
      </c>
      <c r="H33" s="24" t="n">
        <f aca="false">SUMIF('Base Receitas'!$C:$C,$F33,'Base Receitas'!$J:$J)</f>
        <v>0</v>
      </c>
      <c r="I33" s="23" t="str">
        <f aca="false">IF(H33=0,"OK","Cobrar")</f>
        <v>OK</v>
      </c>
    </row>
    <row r="34" customFormat="false" ht="15" hidden="false" customHeight="false" outlineLevel="0" collapsed="false">
      <c r="F34" s="23" t="s">
        <v>76</v>
      </c>
      <c r="G34" s="24" t="n">
        <f aca="false">SUMIF('Base Receitas'!$C:$C,$F34,'Base Receitas'!$F:$F)</f>
        <v>0</v>
      </c>
      <c r="H34" s="24" t="n">
        <f aca="false">SUMIF('Base Receitas'!$C:$C,$F34,'Base Receitas'!$J:$J)</f>
        <v>0</v>
      </c>
      <c r="I34" s="23" t="str">
        <f aca="false">IF(H34=0,"OK","Cobrar")</f>
        <v>OK</v>
      </c>
    </row>
    <row r="35" customFormat="false" ht="15" hidden="false" customHeight="false" outlineLevel="0" collapsed="false">
      <c r="F35" s="23" t="s">
        <v>77</v>
      </c>
      <c r="G35" s="24" t="n">
        <f aca="false">SUMIF('Base Receitas'!$C:$C,$F35,'Base Receitas'!$F:$F)</f>
        <v>0</v>
      </c>
      <c r="H35" s="24" t="n">
        <f aca="false">SUMIF('Base Receitas'!$C:$C,$F35,'Base Receitas'!$J:$J)</f>
        <v>0</v>
      </c>
      <c r="I35" s="23" t="str">
        <f aca="false">IF(H35=0,"OK","Cobrar")</f>
        <v>OK</v>
      </c>
    </row>
    <row r="36" customFormat="false" ht="15" hidden="false" customHeight="false" outlineLevel="0" collapsed="false">
      <c r="F36" s="23" t="s">
        <v>78</v>
      </c>
      <c r="G36" s="24" t="n">
        <f aca="false">SUMIF('Base Receitas'!$C:$C,$F36,'Base Receitas'!$F:$F)</f>
        <v>0</v>
      </c>
      <c r="H36" s="24" t="n">
        <f aca="false">SUMIF('Base Receitas'!$C:$C,$F36,'Base Receitas'!$J:$J)</f>
        <v>0</v>
      </c>
      <c r="I36" s="23" t="str">
        <f aca="false">IF(H36=0,"OK","Cobrar")</f>
        <v>OK</v>
      </c>
    </row>
    <row r="37" customFormat="false" ht="15" hidden="false" customHeight="false" outlineLevel="0" collapsed="false">
      <c r="F37" s="23" t="s">
        <v>79</v>
      </c>
      <c r="G37" s="24" t="n">
        <f aca="false">SUMIF('Base Receitas'!$C:$C,$F37,'Base Receitas'!$F:$F)</f>
        <v>2500</v>
      </c>
      <c r="H37" s="24" t="n">
        <f aca="false">SUMIF('Base Receitas'!$C:$C,$F37,'Base Receitas'!$J:$J)</f>
        <v>0</v>
      </c>
      <c r="I37" s="23" t="str">
        <f aca="false">IF(H37=0,"OK","Cobrar")</f>
        <v>OK</v>
      </c>
    </row>
    <row r="38" customFormat="false" ht="15" hidden="false" customHeight="false" outlineLevel="0" collapsed="false">
      <c r="F38" s="23" t="s">
        <v>80</v>
      </c>
      <c r="G38" s="24" t="n">
        <f aca="false">SUMIF('Base Receitas'!$C:$C,$F38,'Base Receitas'!$F:$F)</f>
        <v>2000</v>
      </c>
      <c r="H38" s="24" t="n">
        <f aca="false">SUMIF('Base Receitas'!$C:$C,$F38,'Base Receitas'!$J:$J)</f>
        <v>2500</v>
      </c>
      <c r="I38" s="23" t="str">
        <f aca="false">IF(H38=0,"OK","Cobrar")</f>
        <v>Cobrar</v>
      </c>
    </row>
    <row r="39" customFormat="false" ht="15" hidden="false" customHeight="false" outlineLevel="0" collapsed="false">
      <c r="F39" s="23" t="s">
        <v>81</v>
      </c>
      <c r="G39" s="24" t="n">
        <f aca="false">SUMIF('Base Receitas'!$C:$C,$F39,'Base Receitas'!$F:$F)</f>
        <v>0</v>
      </c>
      <c r="H39" s="24" t="n">
        <f aca="false">SUMIF('Base Receitas'!$C:$C,$F39,'Base Receitas'!$J:$J)</f>
        <v>0</v>
      </c>
      <c r="I39" s="23" t="str">
        <f aca="false">IF(H39=0,"OK","Cobrar")</f>
        <v>OK</v>
      </c>
    </row>
    <row r="40" customFormat="false" ht="15" hidden="false" customHeight="false" outlineLevel="0" collapsed="false">
      <c r="F40" s="23" t="s">
        <v>82</v>
      </c>
      <c r="G40" s="24" t="n">
        <f aca="false">SUMIF('Base Receitas'!$C:$C,$F40,'Base Receitas'!$F:$F)</f>
        <v>2250</v>
      </c>
      <c r="H40" s="24" t="n">
        <f aca="false">SUMIF('Base Receitas'!$C:$C,$F40,'Base Receitas'!$J:$J)</f>
        <v>0</v>
      </c>
      <c r="I40" s="23" t="str">
        <f aca="false">IF(H40=0,"OK","Cobrar")</f>
        <v>OK</v>
      </c>
    </row>
    <row r="41" customFormat="false" ht="15" hidden="false" customHeight="false" outlineLevel="0" collapsed="false">
      <c r="F41" s="23" t="s">
        <v>83</v>
      </c>
      <c r="G41" s="24" t="n">
        <f aca="false">SUMIF('Base Receitas'!$C:$C,$F41,'Base Receitas'!$F:$F)</f>
        <v>2400</v>
      </c>
      <c r="H41" s="24" t="n">
        <f aca="false">SUMIF('Base Receitas'!$C:$C,$F41,'Base Receitas'!$J:$J)</f>
        <v>0</v>
      </c>
      <c r="I41" s="23" t="str">
        <f aca="false">IF(H41=0,"OK","Cobrar")</f>
        <v>OK</v>
      </c>
    </row>
    <row r="42" customFormat="false" ht="15" hidden="false" customHeight="false" outlineLevel="0" collapsed="false">
      <c r="F42" s="23" t="s">
        <v>84</v>
      </c>
      <c r="G42" s="24" t="n">
        <f aca="false">SUMIF('Base Receitas'!$C:$C,$F42,'Base Receitas'!$F:$F)</f>
        <v>0</v>
      </c>
      <c r="H42" s="24" t="n">
        <f aca="false">SUMIF('Base Receitas'!$C:$C,$F42,'Base Receitas'!$J:$J)</f>
        <v>0</v>
      </c>
      <c r="I42" s="23" t="str">
        <f aca="false">IF(H42=0,"OK","Cobrar")</f>
        <v>OK</v>
      </c>
    </row>
    <row r="43" customFormat="false" ht="15" hidden="false" customHeight="false" outlineLevel="0" collapsed="false">
      <c r="F43" s="23" t="s">
        <v>85</v>
      </c>
      <c r="G43" s="24" t="n">
        <f aca="false">SUMIF('Base Receitas'!$C:$C,$F43,'Base Receitas'!$F:$F)</f>
        <v>0</v>
      </c>
      <c r="H43" s="24" t="n">
        <f aca="false">SUMIF('Base Receitas'!$C:$C,$F43,'Base Receitas'!$J:$J)</f>
        <v>0</v>
      </c>
      <c r="I43" s="23" t="str">
        <f aca="false">IF(H43=0,"OK","Cobrar")</f>
        <v>OK</v>
      </c>
    </row>
    <row r="44" customFormat="false" ht="15" hidden="false" customHeight="false" outlineLevel="0" collapsed="false">
      <c r="F44" s="23" t="s">
        <v>86</v>
      </c>
      <c r="G44" s="24" t="n">
        <f aca="false">SUMIF('Base Receitas'!$C:$C,$F44,'Base Receitas'!$F:$F)</f>
        <v>0</v>
      </c>
      <c r="H44" s="24" t="n">
        <f aca="false">SUMIF('Base Receitas'!$C:$C,$F44,'Base Receitas'!$J:$J)</f>
        <v>0</v>
      </c>
      <c r="I44" s="23" t="str">
        <f aca="false">IF(H44=0,"OK","Cobrar")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563EB"/>
    <pageSetUpPr fitToPage="false"/>
  </sheetPr>
  <dimension ref="A1:J2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7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28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8" min="8" style="1" width="10"/>
    <col collapsed="false" customWidth="true" hidden="false" outlineLevel="0" max="9" min="9" style="1" width="14"/>
    <col collapsed="false" customWidth="true" hidden="false" outlineLevel="0" max="10" min="10" style="1" width="26"/>
  </cols>
  <sheetData>
    <row r="1" customFormat="false" ht="15" hidden="false" customHeight="false" outlineLevel="0" collapsed="false">
      <c r="A1" s="27" t="s">
        <v>87</v>
      </c>
      <c r="B1" s="27" t="s">
        <v>51</v>
      </c>
      <c r="C1" s="27" t="s">
        <v>88</v>
      </c>
      <c r="D1" s="27" t="s">
        <v>89</v>
      </c>
      <c r="E1" s="27" t="s">
        <v>90</v>
      </c>
      <c r="F1" s="27" t="s">
        <v>91</v>
      </c>
      <c r="G1" s="27" t="s">
        <v>92</v>
      </c>
      <c r="H1" s="27" t="s">
        <v>93</v>
      </c>
      <c r="I1" s="27" t="s">
        <v>94</v>
      </c>
      <c r="J1" s="27" t="s">
        <v>95</v>
      </c>
    </row>
    <row r="2" customFormat="false" ht="15" hidden="false" customHeight="false" outlineLevel="0" collapsed="false">
      <c r="A2" s="23" t="s">
        <v>16</v>
      </c>
      <c r="B2" s="23" t="str">
        <f aca="false">'Base Receitas'!A2</f>
        <v>Janeiro</v>
      </c>
      <c r="C2" s="23" t="str">
        <f aca="false">'Base Receitas'!B2</f>
        <v>Receita recorrente</v>
      </c>
      <c r="D2" s="23" t="str">
        <f aca="false">'Base Receitas'!C2</f>
        <v>PROMPT</v>
      </c>
      <c r="E2" s="24" t="n">
        <f aca="false">'Base Receitas'!F2</f>
        <v>800</v>
      </c>
      <c r="F2" s="23" t="str">
        <f aca="false">'Base Receitas'!D2</f>
        <v>PIX </v>
      </c>
      <c r="G2" s="23" t="str">
        <f aca="false">'Base Receitas'!I2</f>
        <v>PAGO</v>
      </c>
      <c r="H2" s="23" t="n">
        <f aca="false">'Base Receitas'!E2</f>
        <v>5</v>
      </c>
      <c r="I2" s="35" t="n">
        <f aca="false">'Base Receitas'!H2</f>
        <v>45992</v>
      </c>
      <c r="J2" s="23" t="str">
        <f aca="false">'Base Receitas'!G2</f>
        <v>contrato  </v>
      </c>
    </row>
    <row r="3" customFormat="false" ht="15" hidden="false" customHeight="false" outlineLevel="0" collapsed="false">
      <c r="A3" s="23" t="s">
        <v>16</v>
      </c>
      <c r="B3" s="23" t="str">
        <f aca="false">'Base Receitas'!A3</f>
        <v>Janeiro</v>
      </c>
      <c r="C3" s="23" t="str">
        <f aca="false">'Base Receitas'!B3</f>
        <v>Receita recorrente</v>
      </c>
      <c r="D3" s="23" t="str">
        <f aca="false">'Base Receitas'!C3</f>
        <v>Atlas </v>
      </c>
      <c r="E3" s="24" t="n">
        <f aca="false">'Base Receitas'!F3</f>
        <v>1200</v>
      </c>
      <c r="F3" s="23" t="str">
        <f aca="false">'Base Receitas'!D3</f>
        <v>Boleto / NF </v>
      </c>
      <c r="G3" s="23" t="str">
        <f aca="false">'Base Receitas'!I3</f>
        <v>PAGO</v>
      </c>
      <c r="H3" s="23" t="n">
        <f aca="false">'Base Receitas'!E3</f>
        <v>5</v>
      </c>
      <c r="I3" s="35" t="n">
        <f aca="false">'Base Receitas'!H3</f>
        <v>45992</v>
      </c>
      <c r="J3" s="23" t="str">
        <f aca="false">'Base Receitas'!G3</f>
        <v>parcela 2/4</v>
      </c>
    </row>
    <row r="4" customFormat="false" ht="15" hidden="false" customHeight="false" outlineLevel="0" collapsed="false">
      <c r="A4" s="23" t="s">
        <v>16</v>
      </c>
      <c r="B4" s="23" t="str">
        <f aca="false">'Base Receitas'!A4</f>
        <v>Janeiro</v>
      </c>
      <c r="C4" s="23" t="str">
        <f aca="false">'Base Receitas'!B4</f>
        <v>Receita recorrente</v>
      </c>
      <c r="D4" s="23" t="str">
        <f aca="false">'Base Receitas'!C4</f>
        <v>Promanage</v>
      </c>
      <c r="E4" s="24" t="n">
        <f aca="false">'Base Receitas'!F4</f>
        <v>750</v>
      </c>
      <c r="F4" s="23" t="str">
        <f aca="false">'Base Receitas'!D4</f>
        <v>Boleto / NF </v>
      </c>
      <c r="G4" s="23" t="str">
        <f aca="false">'Base Receitas'!I4</f>
        <v>PAGO</v>
      </c>
      <c r="H4" s="23" t="n">
        <f aca="false">'Base Receitas'!E4</f>
        <v>5</v>
      </c>
      <c r="I4" s="35" t="n">
        <f aca="false">'Base Receitas'!H4</f>
        <v>46023</v>
      </c>
      <c r="J4" s="23" t="str">
        <f aca="false">'Base Receitas'!G4</f>
        <v>parcela 2/4</v>
      </c>
    </row>
    <row r="5" customFormat="false" ht="15" hidden="false" customHeight="false" outlineLevel="0" collapsed="false">
      <c r="A5" s="23" t="s">
        <v>16</v>
      </c>
      <c r="B5" s="23" t="str">
        <f aca="false">'Base Receitas'!A5</f>
        <v>Janeiro</v>
      </c>
      <c r="C5" s="23" t="str">
        <f aca="false">'Base Receitas'!B5</f>
        <v>Receita recorrente</v>
      </c>
      <c r="D5" s="23" t="str">
        <f aca="false">'Base Receitas'!C5</f>
        <v>Eletrotec</v>
      </c>
      <c r="E5" s="24" t="n">
        <f aca="false">'Base Receitas'!F5</f>
        <v>2000</v>
      </c>
      <c r="F5" s="23" t="str">
        <f aca="false">'Base Receitas'!D5</f>
        <v>Boleto / NF </v>
      </c>
      <c r="G5" s="23" t="str">
        <f aca="false">'Base Receitas'!I5</f>
        <v>PAGO</v>
      </c>
      <c r="H5" s="23" t="n">
        <f aca="false">'Base Receitas'!E5</f>
        <v>6</v>
      </c>
      <c r="I5" s="35" t="n">
        <f aca="false">'Base Receitas'!H5</f>
        <v>46023</v>
      </c>
      <c r="J5" s="23" t="str">
        <f aca="false">'Base Receitas'!G5</f>
        <v>parcela 1/1</v>
      </c>
    </row>
    <row r="6" customFormat="false" ht="15" hidden="false" customHeight="false" outlineLevel="0" collapsed="false">
      <c r="A6" s="23" t="s">
        <v>16</v>
      </c>
      <c r="B6" s="23" t="str">
        <f aca="false">'Base Receitas'!A6</f>
        <v>Janeiro</v>
      </c>
      <c r="C6" s="23" t="str">
        <f aca="false">'Base Receitas'!B6</f>
        <v>Receita recorrente</v>
      </c>
      <c r="D6" s="23" t="str">
        <f aca="false">'Base Receitas'!C6</f>
        <v>Granitos Moredo</v>
      </c>
      <c r="E6" s="24" t="n">
        <f aca="false">'Base Receitas'!F6</f>
        <v>2500</v>
      </c>
      <c r="F6" s="23" t="str">
        <f aca="false">'Base Receitas'!D6</f>
        <v>Boleto / NF</v>
      </c>
      <c r="G6" s="23" t="str">
        <f aca="false">'Base Receitas'!I6</f>
        <v>PAGO</v>
      </c>
      <c r="H6" s="23" t="n">
        <f aca="false">'Base Receitas'!E6</f>
        <v>10</v>
      </c>
      <c r="I6" s="35" t="n">
        <f aca="false">'Base Receitas'!H6</f>
        <v>45992</v>
      </c>
      <c r="J6" s="23" t="str">
        <f aca="false">'Base Receitas'!G6</f>
        <v>parcela 4/6</v>
      </c>
    </row>
    <row r="7" customFormat="false" ht="15" hidden="false" customHeight="false" outlineLevel="0" collapsed="false">
      <c r="A7" s="23" t="s">
        <v>16</v>
      </c>
      <c r="B7" s="23" t="str">
        <f aca="false">'Base Receitas'!A7</f>
        <v>Janeiro</v>
      </c>
      <c r="C7" s="23" t="str">
        <f aca="false">'Base Receitas'!B7</f>
        <v>Receita recorrente</v>
      </c>
      <c r="D7" s="23" t="str">
        <f aca="false">'Base Receitas'!C7</f>
        <v>Kontainers </v>
      </c>
      <c r="E7" s="24" t="n">
        <f aca="false">'Base Receitas'!F7</f>
        <v>1500</v>
      </c>
      <c r="F7" s="23" t="str">
        <f aca="false">'Base Receitas'!D7</f>
        <v>Boleto / NF </v>
      </c>
      <c r="G7" s="23" t="str">
        <f aca="false">'Base Receitas'!I7</f>
        <v>PAGO</v>
      </c>
      <c r="H7" s="23" t="n">
        <f aca="false">'Base Receitas'!E7</f>
        <v>12</v>
      </c>
      <c r="I7" s="35" t="n">
        <f aca="false">'Base Receitas'!H7</f>
        <v>46023</v>
      </c>
      <c r="J7" s="23" t="str">
        <f aca="false">'Base Receitas'!G7</f>
        <v>contrato  </v>
      </c>
    </row>
    <row r="8" customFormat="false" ht="15" hidden="false" customHeight="false" outlineLevel="0" collapsed="false">
      <c r="A8" s="23" t="s">
        <v>16</v>
      </c>
      <c r="B8" s="23" t="str">
        <f aca="false">'Base Receitas'!A8</f>
        <v>Janeiro</v>
      </c>
      <c r="C8" s="23" t="str">
        <f aca="false">'Base Receitas'!B8</f>
        <v>Receita recorrente</v>
      </c>
      <c r="D8" s="23" t="str">
        <f aca="false">'Base Receitas'!C8</f>
        <v>FreePort </v>
      </c>
      <c r="E8" s="24" t="n">
        <f aca="false">'Base Receitas'!F8</f>
        <v>600</v>
      </c>
      <c r="F8" s="23" t="str">
        <f aca="false">'Base Receitas'!D8</f>
        <v>PIX / NF  </v>
      </c>
      <c r="G8" s="23" t="str">
        <f aca="false">'Base Receitas'!I8</f>
        <v>PAGO</v>
      </c>
      <c r="H8" s="23" t="n">
        <f aca="false">'Base Receitas'!E8</f>
        <v>16</v>
      </c>
      <c r="I8" s="35" t="n">
        <f aca="false">'Base Receitas'!H8</f>
        <v>46023</v>
      </c>
      <c r="J8" s="23" t="str">
        <f aca="false">'Base Receitas'!G8</f>
        <v>contrato  </v>
      </c>
    </row>
    <row r="9" customFormat="false" ht="15" hidden="false" customHeight="false" outlineLevel="0" collapsed="false">
      <c r="A9" s="23" t="s">
        <v>16</v>
      </c>
      <c r="B9" s="23" t="str">
        <f aca="false">'Base Receitas'!A9</f>
        <v>Janeiro</v>
      </c>
      <c r="C9" s="23" t="str">
        <f aca="false">'Base Receitas'!B9</f>
        <v>Receita recorrente</v>
      </c>
      <c r="D9" s="23" t="str">
        <f aca="false">'Base Receitas'!C9</f>
        <v>Fernet</v>
      </c>
      <c r="E9" s="24" t="n">
        <f aca="false">'Base Receitas'!F9</f>
        <v>1200</v>
      </c>
      <c r="F9" s="23" t="str">
        <f aca="false">'Base Receitas'!D9</f>
        <v>Boleto/Nf</v>
      </c>
      <c r="G9" s="23" t="str">
        <f aca="false">'Base Receitas'!I9</f>
        <v>PAGO</v>
      </c>
      <c r="H9" s="23" t="n">
        <f aca="false">'Base Receitas'!E9</f>
        <v>25</v>
      </c>
      <c r="I9" s="23" t="n">
        <f aca="false">'Base Receitas'!H9</f>
        <v>0</v>
      </c>
      <c r="J9" s="23" t="str">
        <f aca="false">'Base Receitas'!G9</f>
        <v>PARCELA 1/4</v>
      </c>
    </row>
    <row r="10" customFormat="false" ht="15" hidden="false" customHeight="false" outlineLevel="0" collapsed="false">
      <c r="A10" s="23" t="s">
        <v>16</v>
      </c>
      <c r="B10" s="23" t="str">
        <f aca="false">'Base Receitas'!A10</f>
        <v>Janeiro</v>
      </c>
      <c r="C10" s="23" t="str">
        <f aca="false">'Base Receitas'!B10</f>
        <v>Receita recorrente</v>
      </c>
      <c r="D10" s="23" t="str">
        <f aca="false">'Base Receitas'!C10</f>
        <v>Mardon Eng.Murilo</v>
      </c>
      <c r="E10" s="24" t="n">
        <f aca="false">'Base Receitas'!F10</f>
        <v>2500</v>
      </c>
      <c r="F10" s="23" t="str">
        <f aca="false">'Base Receitas'!D10</f>
        <v>Pix</v>
      </c>
      <c r="G10" s="23" t="str">
        <f aca="false">'Base Receitas'!I10</f>
        <v>PENDENTE</v>
      </c>
      <c r="H10" s="23" t="n">
        <f aca="false">'Base Receitas'!E10</f>
        <v>0</v>
      </c>
      <c r="I10" s="23" t="n">
        <f aca="false">'Base Receitas'!H10</f>
        <v>0</v>
      </c>
      <c r="J10" s="23" t="n">
        <f aca="false">'Base Receitas'!G10</f>
        <v>0</v>
      </c>
    </row>
    <row r="11" customFormat="false" ht="15" hidden="false" customHeight="false" outlineLevel="0" collapsed="false">
      <c r="A11" s="23" t="s">
        <v>16</v>
      </c>
      <c r="B11" s="23" t="str">
        <f aca="false">'Base Receitas'!A11</f>
        <v>Janeiro</v>
      </c>
      <c r="C11" s="23" t="str">
        <f aca="false">'Base Receitas'!B11</f>
        <v>Receita recorrente</v>
      </c>
      <c r="D11" s="23" t="str">
        <f aca="false">'Base Receitas'!C11</f>
        <v>Hygge Games Intern. </v>
      </c>
      <c r="E11" s="24" t="n">
        <f aca="false">'Base Receitas'!F11</f>
        <v>2000</v>
      </c>
      <c r="F11" s="23" t="str">
        <f aca="false">'Base Receitas'!D11</f>
        <v>Invoice </v>
      </c>
      <c r="G11" s="23" t="str">
        <f aca="false">'Base Receitas'!I11</f>
        <v>PENDENTE</v>
      </c>
      <c r="H11" s="23" t="n">
        <f aca="false">'Base Receitas'!E11</f>
        <v>25</v>
      </c>
      <c r="I11" s="35" t="n">
        <f aca="false">'Base Receitas'!H11</f>
        <v>45992</v>
      </c>
      <c r="J11" s="23" t="str">
        <f aca="false">'Base Receitas'!G11</f>
        <v>contrato  </v>
      </c>
    </row>
    <row r="12" customFormat="false" ht="15" hidden="false" customHeight="false" outlineLevel="0" collapsed="false">
      <c r="A12" s="23" t="s">
        <v>16</v>
      </c>
      <c r="B12" s="23" t="str">
        <f aca="false">'Base Receitas'!A12</f>
        <v>Janeiro</v>
      </c>
      <c r="C12" s="23" t="str">
        <f aca="false">'Base Receitas'!B12</f>
        <v>Receita recorrente</v>
      </c>
      <c r="D12" s="23" t="str">
        <f aca="false">'Base Receitas'!C12</f>
        <v>Redomo Energia </v>
      </c>
      <c r="E12" s="24" t="n">
        <f aca="false">'Base Receitas'!F12</f>
        <v>1350</v>
      </c>
      <c r="F12" s="23" t="str">
        <f aca="false">'Base Receitas'!D12</f>
        <v>Boleto / NF  </v>
      </c>
      <c r="G12" s="23" t="str">
        <f aca="false">'Base Receitas'!I12</f>
        <v>PAGO</v>
      </c>
      <c r="H12" s="23" t="n">
        <f aca="false">'Base Receitas'!E12</f>
        <v>25</v>
      </c>
      <c r="I12" s="35" t="n">
        <f aca="false">'Base Receitas'!H12</f>
        <v>45992</v>
      </c>
      <c r="J12" s="23" t="str">
        <f aca="false">'Base Receitas'!G12</f>
        <v>contrato  </v>
      </c>
    </row>
    <row r="13" customFormat="false" ht="15" hidden="false" customHeight="false" outlineLevel="0" collapsed="false">
      <c r="A13" s="23" t="s">
        <v>16</v>
      </c>
      <c r="B13" s="23" t="str">
        <f aca="false">'Base Receitas'!A13</f>
        <v>Janeiro</v>
      </c>
      <c r="C13" s="23" t="str">
        <f aca="false">'Base Receitas'!B13</f>
        <v>Receita recorrente</v>
      </c>
      <c r="D13" s="23" t="str">
        <f aca="false">'Base Receitas'!C13</f>
        <v>ADRIFER</v>
      </c>
      <c r="E13" s="24" t="n">
        <f aca="false">'Base Receitas'!F13</f>
        <v>1900</v>
      </c>
      <c r="F13" s="23" t="str">
        <f aca="false">'Base Receitas'!D13</f>
        <v>Boleto / NF</v>
      </c>
      <c r="G13" s="23" t="str">
        <f aca="false">'Base Receitas'!I13</f>
        <v>PAGO</v>
      </c>
      <c r="H13" s="23" t="n">
        <f aca="false">'Base Receitas'!E13</f>
        <v>25</v>
      </c>
      <c r="I13" s="35" t="n">
        <f aca="false">'Base Receitas'!H13</f>
        <v>46023</v>
      </c>
      <c r="J13" s="23" t="str">
        <f aca="false">'Base Receitas'!G13</f>
        <v>parcela 3/3</v>
      </c>
    </row>
    <row r="14" customFormat="false" ht="15" hidden="false" customHeight="false" outlineLevel="0" collapsed="false">
      <c r="A14" s="23" t="s">
        <v>16</v>
      </c>
      <c r="B14" s="23" t="str">
        <f aca="false">'Base Receitas'!A14</f>
        <v>Janeiro</v>
      </c>
      <c r="C14" s="23" t="str">
        <f aca="false">'Base Receitas'!B14</f>
        <v>Receita recorrente</v>
      </c>
      <c r="D14" s="23" t="str">
        <f aca="false">'Base Receitas'!C14</f>
        <v>Agência CMA </v>
      </c>
      <c r="E14" s="24" t="n">
        <f aca="false">'Base Receitas'!F14</f>
        <v>4500</v>
      </c>
      <c r="F14" s="23" t="str">
        <f aca="false">'Base Receitas'!D14</f>
        <v>PIX / NF</v>
      </c>
      <c r="G14" s="23" t="str">
        <f aca="false">'Base Receitas'!I14</f>
        <v>PAGO</v>
      </c>
      <c r="H14" s="23" t="n">
        <f aca="false">'Base Receitas'!E14</f>
        <v>30</v>
      </c>
      <c r="I14" s="35" t="n">
        <f aca="false">'Base Receitas'!H14</f>
        <v>46023</v>
      </c>
      <c r="J14" s="23" t="n">
        <f aca="false">'Base Receitas'!G14</f>
        <v>0</v>
      </c>
    </row>
    <row r="15" customFormat="false" ht="15" hidden="false" customHeight="false" outlineLevel="0" collapsed="false">
      <c r="A15" s="23" t="s">
        <v>16</v>
      </c>
      <c r="B15" s="23" t="str">
        <f aca="false">'Base Receitas'!A15</f>
        <v>Janeiro</v>
      </c>
      <c r="C15" s="23" t="str">
        <f aca="false">'Base Receitas'!B15</f>
        <v>Receita recorrente</v>
      </c>
      <c r="D15" s="23" t="n">
        <f aca="false">'Base Receitas'!C15</f>
        <v>0</v>
      </c>
      <c r="E15" s="24" t="n">
        <f aca="false">'Base Receitas'!F15</f>
        <v>0</v>
      </c>
      <c r="F15" s="23" t="str">
        <f aca="false">'Base Receitas'!D15</f>
        <v>PIX</v>
      </c>
      <c r="G15" s="23" t="n">
        <f aca="false">'Base Receitas'!I15</f>
        <v>0</v>
      </c>
      <c r="H15" s="23" t="n">
        <f aca="false">'Base Receitas'!E15</f>
        <v>25</v>
      </c>
      <c r="I15" s="23" t="n">
        <f aca="false">'Base Receitas'!H15</f>
        <v>0</v>
      </c>
      <c r="J15" s="23" t="n">
        <f aca="false">'Base Receitas'!G15</f>
        <v>0</v>
      </c>
    </row>
    <row r="16" customFormat="false" ht="15" hidden="false" customHeight="false" outlineLevel="0" collapsed="false">
      <c r="A16" s="23" t="s">
        <v>16</v>
      </c>
      <c r="B16" s="23" t="str">
        <f aca="false">'Base Receitas'!A16</f>
        <v>Janeiro</v>
      </c>
      <c r="C16" s="23" t="str">
        <f aca="false">'Base Receitas'!B16</f>
        <v>Receita recorrente</v>
      </c>
      <c r="D16" s="23" t="str">
        <f aca="false">'Base Receitas'!C16</f>
        <v>CMA - Dra Flávia</v>
      </c>
      <c r="E16" s="24" t="n">
        <f aca="false">'Base Receitas'!F16</f>
        <v>1360</v>
      </c>
      <c r="F16" s="23" t="str">
        <f aca="false">'Base Receitas'!D16</f>
        <v>PIX  / NF </v>
      </c>
      <c r="G16" s="23" t="str">
        <f aca="false">'Base Receitas'!I16</f>
        <v>PAGO</v>
      </c>
      <c r="H16" s="23" t="n">
        <f aca="false">'Base Receitas'!E16</f>
        <v>30</v>
      </c>
      <c r="I16" s="35" t="n">
        <f aca="false">'Base Receitas'!H16</f>
        <v>46023</v>
      </c>
      <c r="J16" s="23" t="str">
        <f aca="false">'Base Receitas'!G16</f>
        <v>parcela 4/12</v>
      </c>
    </row>
    <row r="17" customFormat="false" ht="15" hidden="false" customHeight="false" outlineLevel="0" collapsed="false">
      <c r="A17" s="23" t="s">
        <v>16</v>
      </c>
      <c r="B17" s="23" t="str">
        <f aca="false">'Base Receitas'!A17</f>
        <v>Janeiro</v>
      </c>
      <c r="C17" s="23" t="str">
        <f aca="false">'Base Receitas'!B17</f>
        <v>Receita recorrente</v>
      </c>
      <c r="D17" s="23" t="str">
        <f aca="false">'Base Receitas'!C17</f>
        <v>ELAGE AÇAI</v>
      </c>
      <c r="E17" s="24" t="n">
        <f aca="false">'Base Receitas'!F17</f>
        <v>2000</v>
      </c>
      <c r="F17" s="23" t="str">
        <f aca="false">'Base Receitas'!D17</f>
        <v>PIX /  NF</v>
      </c>
      <c r="G17" s="23" t="str">
        <f aca="false">'Base Receitas'!I17</f>
        <v>PENDENTE</v>
      </c>
      <c r="H17" s="23" t="n">
        <f aca="false">'Base Receitas'!E17</f>
        <v>30</v>
      </c>
      <c r="I17" s="35" t="n">
        <f aca="false">'Base Receitas'!H17</f>
        <v>46023</v>
      </c>
      <c r="J17" s="23" t="str">
        <f aca="false">'Base Receitas'!G17</f>
        <v>parcela 1/6</v>
      </c>
    </row>
    <row r="18" customFormat="false" ht="15" hidden="false" customHeight="false" outlineLevel="0" collapsed="false">
      <c r="A18" s="23" t="s">
        <v>16</v>
      </c>
      <c r="B18" s="23" t="str">
        <f aca="false">'Base Receitas'!A18</f>
        <v>Janeiro</v>
      </c>
      <c r="C18" s="23" t="str">
        <f aca="false">'Base Receitas'!B18</f>
        <v>Receita recorrente</v>
      </c>
      <c r="D18" s="23" t="str">
        <f aca="false">'Base Receitas'!C18</f>
        <v>Hygge Games </v>
      </c>
      <c r="E18" s="24" t="n">
        <f aca="false">'Base Receitas'!F18</f>
        <v>750</v>
      </c>
      <c r="F18" s="23" t="str">
        <f aca="false">'Base Receitas'!D18</f>
        <v>Boleto / NF </v>
      </c>
      <c r="G18" s="23" t="str">
        <f aca="false">'Base Receitas'!I18</f>
        <v>PAGO</v>
      </c>
      <c r="H18" s="23" t="n">
        <f aca="false">'Base Receitas'!E18</f>
        <v>28</v>
      </c>
      <c r="I18" s="35" t="n">
        <f aca="false">'Base Receitas'!H18</f>
        <v>46023</v>
      </c>
      <c r="J18" s="23" t="str">
        <f aca="false">'Base Receitas'!G18</f>
        <v>contrato  </v>
      </c>
    </row>
    <row r="19" customFormat="false" ht="15" hidden="false" customHeight="false" outlineLevel="0" collapsed="false">
      <c r="A19" s="23" t="s">
        <v>16</v>
      </c>
      <c r="B19" s="23" t="str">
        <f aca="false">'Base Receitas'!A19</f>
        <v>Janeiro</v>
      </c>
      <c r="C19" s="23" t="str">
        <f aca="false">'Base Receitas'!B19</f>
        <v>Receita recorrente</v>
      </c>
      <c r="D19" s="23" t="str">
        <f aca="false">'Base Receitas'!C19</f>
        <v>STS </v>
      </c>
      <c r="E19" s="24" t="n">
        <f aca="false">'Base Receitas'!F19</f>
        <v>0</v>
      </c>
      <c r="F19" s="23" t="str">
        <f aca="false">'Base Receitas'!D19</f>
        <v>Boleto / NF </v>
      </c>
      <c r="G19" s="23" t="n">
        <f aca="false">'Base Receitas'!I19</f>
        <v>0</v>
      </c>
      <c r="H19" s="23" t="n">
        <f aca="false">'Base Receitas'!E19</f>
        <v>30</v>
      </c>
      <c r="I19" s="35" t="n">
        <f aca="false">'Base Receitas'!H19</f>
        <v>46023</v>
      </c>
      <c r="J19" s="23" t="str">
        <f aca="false">'Base Receitas'!G19</f>
        <v>contrato  </v>
      </c>
    </row>
    <row r="20" customFormat="false" ht="15" hidden="false" customHeight="false" outlineLevel="0" collapsed="false">
      <c r="A20" s="23" t="s">
        <v>16</v>
      </c>
      <c r="B20" s="23" t="str">
        <f aca="false">'Base Receitas'!A20</f>
        <v>Janeiro</v>
      </c>
      <c r="C20" s="23" t="str">
        <f aca="false">'Base Receitas'!B20</f>
        <v>Receita recorrente</v>
      </c>
      <c r="D20" s="23" t="str">
        <f aca="false">'Base Receitas'!C20</f>
        <v>Cemitério Cantareira </v>
      </c>
      <c r="E20" s="24" t="n">
        <f aca="false">'Base Receitas'!F20</f>
        <v>2750</v>
      </c>
      <c r="F20" s="23" t="str">
        <f aca="false">'Base Receitas'!D20</f>
        <v>Boleto</v>
      </c>
      <c r="G20" s="23" t="str">
        <f aca="false">'Base Receitas'!I20</f>
        <v>PAGO</v>
      </c>
      <c r="H20" s="23" t="n">
        <f aca="false">'Base Receitas'!E20</f>
        <v>30</v>
      </c>
      <c r="I20" s="35" t="n">
        <f aca="false">'Base Receitas'!H20</f>
        <v>46023</v>
      </c>
      <c r="J20" s="23" t="str">
        <f aca="false">'Base Receitas'!G20</f>
        <v>contrato  </v>
      </c>
    </row>
    <row r="21" customFormat="false" ht="15" hidden="false" customHeight="false" outlineLevel="0" collapsed="false">
      <c r="A21" s="23" t="s">
        <v>16</v>
      </c>
      <c r="B21" s="23" t="str">
        <f aca="false">'Base Receitas'!A21</f>
        <v>Janeiro</v>
      </c>
      <c r="C21" s="23" t="str">
        <f aca="false">'Base Receitas'!B21</f>
        <v>Receita recorrente</v>
      </c>
      <c r="D21" s="23" t="str">
        <f aca="false">'Base Receitas'!C21</f>
        <v>Daju Restaurante </v>
      </c>
      <c r="E21" s="24" t="n">
        <f aca="false">'Base Receitas'!F21</f>
        <v>600</v>
      </c>
      <c r="F21" s="23" t="str">
        <f aca="false">'Base Receitas'!D21</f>
        <v>PIX  / NF </v>
      </c>
      <c r="G21" s="23" t="str">
        <f aca="false">'Base Receitas'!I21</f>
        <v>PENDENTE</v>
      </c>
      <c r="H21" s="23" t="n">
        <f aca="false">'Base Receitas'!E21</f>
        <v>30</v>
      </c>
      <c r="I21" s="35" t="n">
        <f aca="false">'Base Receitas'!H21</f>
        <v>46023</v>
      </c>
      <c r="J21" s="23" t="str">
        <f aca="false">'Base Receitas'!G21</f>
        <v>contrato  </v>
      </c>
    </row>
    <row r="22" customFormat="false" ht="15" hidden="false" customHeight="false" outlineLevel="0" collapsed="false">
      <c r="A22" s="23" t="s">
        <v>16</v>
      </c>
      <c r="B22" s="23" t="str">
        <f aca="false">'Base Receitas'!A22</f>
        <v>Fevereiro</v>
      </c>
      <c r="C22" s="23" t="str">
        <f aca="false">'Base Receitas'!B22</f>
        <v>Receita recorrente</v>
      </c>
      <c r="D22" s="23" t="str">
        <f aca="false">'Base Receitas'!C22</f>
        <v>PROMPT</v>
      </c>
      <c r="E22" s="24" t="n">
        <f aca="false">'Base Receitas'!F22</f>
        <v>800</v>
      </c>
      <c r="F22" s="23" t="str">
        <f aca="false">'Base Receitas'!D22</f>
        <v>PIX </v>
      </c>
      <c r="G22" s="23" t="str">
        <f aca="false">'Base Receitas'!I22</f>
        <v>PENDENTE</v>
      </c>
      <c r="H22" s="23" t="n">
        <f aca="false">'Base Receitas'!E22</f>
        <v>5</v>
      </c>
      <c r="I22" s="35" t="n">
        <f aca="false">'Base Receitas'!H22</f>
        <v>46023</v>
      </c>
      <c r="J22" s="23" t="str">
        <f aca="false">'Base Receitas'!G22</f>
        <v>contrato  </v>
      </c>
    </row>
    <row r="23" customFormat="false" ht="15" hidden="false" customHeight="false" outlineLevel="0" collapsed="false">
      <c r="A23" s="23" t="s">
        <v>16</v>
      </c>
      <c r="B23" s="23" t="str">
        <f aca="false">'Base Receitas'!A23</f>
        <v>Fevereiro</v>
      </c>
      <c r="C23" s="23" t="str">
        <f aca="false">'Base Receitas'!B23</f>
        <v>Receita recorrente</v>
      </c>
      <c r="D23" s="23" t="str">
        <f aca="false">'Base Receitas'!C23</f>
        <v>Atlas </v>
      </c>
      <c r="E23" s="24" t="n">
        <f aca="false">'Base Receitas'!F23</f>
        <v>1200</v>
      </c>
      <c r="F23" s="23" t="str">
        <f aca="false">'Base Receitas'!D23</f>
        <v>Boleto / NF </v>
      </c>
      <c r="G23" s="23" t="str">
        <f aca="false">'Base Receitas'!I23</f>
        <v>PAGO</v>
      </c>
      <c r="H23" s="23" t="n">
        <f aca="false">'Base Receitas'!E23</f>
        <v>5</v>
      </c>
      <c r="I23" s="35" t="n">
        <f aca="false">'Base Receitas'!H23</f>
        <v>46023</v>
      </c>
      <c r="J23" s="23" t="str">
        <f aca="false">'Base Receitas'!G23</f>
        <v>parcela 3/4</v>
      </c>
    </row>
    <row r="24" customFormat="false" ht="15" hidden="false" customHeight="false" outlineLevel="0" collapsed="false">
      <c r="A24" s="23" t="s">
        <v>16</v>
      </c>
      <c r="B24" s="23" t="str">
        <f aca="false">'Base Receitas'!A24</f>
        <v>Fevereiro</v>
      </c>
      <c r="C24" s="23" t="str">
        <f aca="false">'Base Receitas'!B24</f>
        <v>Produto Adicional</v>
      </c>
      <c r="D24" s="23" t="n">
        <f aca="false">'Base Receitas'!C24</f>
        <v>0</v>
      </c>
      <c r="E24" s="24" t="n">
        <f aca="false">'Base Receitas'!F24</f>
        <v>0</v>
      </c>
      <c r="F24" s="23" t="str">
        <f aca="false">'Base Receitas'!D24</f>
        <v>Boleto / NF</v>
      </c>
      <c r="G24" s="23" t="n">
        <f aca="false">'Base Receitas'!I24</f>
        <v>0</v>
      </c>
      <c r="H24" s="23" t="n">
        <f aca="false">'Base Receitas'!E24</f>
        <v>5</v>
      </c>
      <c r="I24" s="23" t="n">
        <f aca="false">'Base Receitas'!H24</f>
        <v>0</v>
      </c>
      <c r="J24" s="23" t="n">
        <f aca="false">'Base Receitas'!G24</f>
        <v>0</v>
      </c>
    </row>
    <row r="25" customFormat="false" ht="15" hidden="false" customHeight="false" outlineLevel="0" collapsed="false">
      <c r="A25" s="23" t="s">
        <v>16</v>
      </c>
      <c r="B25" s="23" t="str">
        <f aca="false">'Base Receitas'!A25</f>
        <v>Fevereiro</v>
      </c>
      <c r="C25" s="23" t="str">
        <f aca="false">'Base Receitas'!B25</f>
        <v>Produto Adicional</v>
      </c>
      <c r="D25" s="23" t="n">
        <f aca="false">'Base Receitas'!C25</f>
        <v>0</v>
      </c>
      <c r="E25" s="24" t="n">
        <f aca="false">'Base Receitas'!F25</f>
        <v>0</v>
      </c>
      <c r="F25" s="23" t="str">
        <f aca="false">'Base Receitas'!D25</f>
        <v>Boleto / NF</v>
      </c>
      <c r="G25" s="23" t="n">
        <f aca="false">'Base Receitas'!I25</f>
        <v>0</v>
      </c>
      <c r="H25" s="23" t="n">
        <f aca="false">'Base Receitas'!E25</f>
        <v>5</v>
      </c>
      <c r="I25" s="23" t="n">
        <f aca="false">'Base Receitas'!H25</f>
        <v>0</v>
      </c>
      <c r="J25" s="23" t="n">
        <f aca="false">'Base Receitas'!G25</f>
        <v>0</v>
      </c>
    </row>
    <row r="26" customFormat="false" ht="15" hidden="false" customHeight="false" outlineLevel="0" collapsed="false">
      <c r="A26" s="23" t="s">
        <v>16</v>
      </c>
      <c r="B26" s="23" t="str">
        <f aca="false">'Base Receitas'!A26</f>
        <v>Fevereiro</v>
      </c>
      <c r="C26" s="23" t="str">
        <f aca="false">'Base Receitas'!B26</f>
        <v>Receita recorrente</v>
      </c>
      <c r="D26" s="23" t="str">
        <f aca="false">'Base Receitas'!C26</f>
        <v>Promanage</v>
      </c>
      <c r="E26" s="24" t="n">
        <f aca="false">'Base Receitas'!F26</f>
        <v>750</v>
      </c>
      <c r="F26" s="23" t="str">
        <f aca="false">'Base Receitas'!D26</f>
        <v>Boleto / NF </v>
      </c>
      <c r="G26" s="23" t="str">
        <f aca="false">'Base Receitas'!I26</f>
        <v>PAGO</v>
      </c>
      <c r="H26" s="23" t="n">
        <f aca="false">'Base Receitas'!E26</f>
        <v>5</v>
      </c>
      <c r="I26" s="35" t="n">
        <f aca="false">'Base Receitas'!H26</f>
        <v>46054</v>
      </c>
      <c r="J26" s="23" t="str">
        <f aca="false">'Base Receitas'!G26</f>
        <v>parcela 3/4</v>
      </c>
    </row>
    <row r="27" customFormat="false" ht="15" hidden="false" customHeight="false" outlineLevel="0" collapsed="false">
      <c r="A27" s="23" t="s">
        <v>16</v>
      </c>
      <c r="B27" s="23" t="str">
        <f aca="false">'Base Receitas'!A27</f>
        <v>Fevereiro</v>
      </c>
      <c r="C27" s="23" t="str">
        <f aca="false">'Base Receitas'!B27</f>
        <v>Receita recorrente</v>
      </c>
      <c r="D27" s="23" t="str">
        <f aca="false">'Base Receitas'!C27</f>
        <v>Eletrotec</v>
      </c>
      <c r="E27" s="24" t="n">
        <f aca="false">'Base Receitas'!F27</f>
        <v>2750</v>
      </c>
      <c r="F27" s="23" t="str">
        <f aca="false">'Base Receitas'!D27</f>
        <v>Boleto / NF </v>
      </c>
      <c r="G27" s="23" t="str">
        <f aca="false">'Base Receitas'!I27</f>
        <v>PAGO</v>
      </c>
      <c r="H27" s="23" t="n">
        <f aca="false">'Base Receitas'!E27</f>
        <v>6</v>
      </c>
      <c r="I27" s="35" t="n">
        <f aca="false">'Base Receitas'!H27</f>
        <v>46054</v>
      </c>
      <c r="J27" s="23" t="str">
        <f aca="false">'Base Receitas'!G27</f>
        <v>parcela 1/3</v>
      </c>
    </row>
    <row r="28" customFormat="false" ht="15" hidden="false" customHeight="false" outlineLevel="0" collapsed="false">
      <c r="A28" s="23" t="s">
        <v>16</v>
      </c>
      <c r="B28" s="23" t="str">
        <f aca="false">'Base Receitas'!A28</f>
        <v>Fevereiro</v>
      </c>
      <c r="C28" s="23" t="str">
        <f aca="false">'Base Receitas'!B28</f>
        <v>Receita recorrente</v>
      </c>
      <c r="D28" s="23" t="str">
        <f aca="false">'Base Receitas'!C28</f>
        <v>Granitos Moredo</v>
      </c>
      <c r="E28" s="24" t="n">
        <f aca="false">'Base Receitas'!F28</f>
        <v>2500</v>
      </c>
      <c r="F28" s="23" t="str">
        <f aca="false">'Base Receitas'!D28</f>
        <v>Boleto / NF</v>
      </c>
      <c r="G28" s="23" t="str">
        <f aca="false">'Base Receitas'!I28</f>
        <v>PAGO</v>
      </c>
      <c r="H28" s="23" t="n">
        <f aca="false">'Base Receitas'!E28</f>
        <v>10</v>
      </c>
      <c r="I28" s="35" t="n">
        <f aca="false">'Base Receitas'!H28</f>
        <v>46023</v>
      </c>
      <c r="J28" s="23" t="str">
        <f aca="false">'Base Receitas'!G28</f>
        <v>parcela 5/6</v>
      </c>
    </row>
    <row r="29" customFormat="false" ht="15" hidden="false" customHeight="false" outlineLevel="0" collapsed="false">
      <c r="A29" s="23" t="s">
        <v>16</v>
      </c>
      <c r="B29" s="23" t="str">
        <f aca="false">'Base Receitas'!A29</f>
        <v>Fevereiro</v>
      </c>
      <c r="C29" s="23" t="str">
        <f aca="false">'Base Receitas'!B29</f>
        <v>Receita recorrente</v>
      </c>
      <c r="D29" s="23" t="str">
        <f aca="false">'Base Receitas'!C29</f>
        <v>Kontainers </v>
      </c>
      <c r="E29" s="24" t="n">
        <f aca="false">'Base Receitas'!F29</f>
        <v>1500</v>
      </c>
      <c r="F29" s="23" t="str">
        <f aca="false">'Base Receitas'!D29</f>
        <v>Boleto / NF </v>
      </c>
      <c r="G29" s="23" t="str">
        <f aca="false">'Base Receitas'!I29</f>
        <v>PAGO</v>
      </c>
      <c r="H29" s="23" t="n">
        <f aca="false">'Base Receitas'!E29</f>
        <v>12</v>
      </c>
      <c r="I29" s="35" t="n">
        <f aca="false">'Base Receitas'!H29</f>
        <v>46054</v>
      </c>
      <c r="J29" s="23" t="str">
        <f aca="false">'Base Receitas'!G29</f>
        <v>contrato  </v>
      </c>
    </row>
    <row r="30" customFormat="false" ht="15" hidden="false" customHeight="false" outlineLevel="0" collapsed="false">
      <c r="A30" s="23" t="s">
        <v>16</v>
      </c>
      <c r="B30" s="23" t="str">
        <f aca="false">'Base Receitas'!A30</f>
        <v>Fevereiro</v>
      </c>
      <c r="C30" s="23" t="str">
        <f aca="false">'Base Receitas'!B30</f>
        <v>Receita recorrente</v>
      </c>
      <c r="D30" s="23" t="str">
        <f aca="false">'Base Receitas'!C30</f>
        <v>FreePort </v>
      </c>
      <c r="E30" s="24" t="n">
        <f aca="false">'Base Receitas'!F30</f>
        <v>600</v>
      </c>
      <c r="F30" s="23" t="str">
        <f aca="false">'Base Receitas'!D30</f>
        <v>PIX / NF  </v>
      </c>
      <c r="G30" s="23" t="str">
        <f aca="false">'Base Receitas'!I30</f>
        <v>PAGO</v>
      </c>
      <c r="H30" s="23" t="n">
        <f aca="false">'Base Receitas'!E30</f>
        <v>16</v>
      </c>
      <c r="I30" s="35" t="n">
        <f aca="false">'Base Receitas'!H30</f>
        <v>46054</v>
      </c>
      <c r="J30" s="23" t="str">
        <f aca="false">'Base Receitas'!G30</f>
        <v>contrato  </v>
      </c>
    </row>
    <row r="31" customFormat="false" ht="15" hidden="false" customHeight="false" outlineLevel="0" collapsed="false">
      <c r="A31" s="23" t="s">
        <v>16</v>
      </c>
      <c r="B31" s="23" t="str">
        <f aca="false">'Base Receitas'!A31</f>
        <v>Fevereiro</v>
      </c>
      <c r="C31" s="23" t="str">
        <f aca="false">'Base Receitas'!B31</f>
        <v>Receita recorrente</v>
      </c>
      <c r="D31" s="23" t="str">
        <f aca="false">'Base Receitas'!C31</f>
        <v>Murilo Eng</v>
      </c>
      <c r="E31" s="24" t="n">
        <f aca="false">'Base Receitas'!F31</f>
        <v>1000</v>
      </c>
      <c r="F31" s="23" t="n">
        <f aca="false">'Base Receitas'!D31</f>
        <v>0</v>
      </c>
      <c r="G31" s="23" t="n">
        <f aca="false">'Base Receitas'!I31</f>
        <v>0</v>
      </c>
      <c r="H31" s="23" t="n">
        <f aca="false">'Base Receitas'!E31</f>
        <v>0</v>
      </c>
      <c r="I31" s="23" t="n">
        <f aca="false">'Base Receitas'!H31</f>
        <v>0</v>
      </c>
      <c r="J31" s="23" t="n">
        <f aca="false">'Base Receitas'!G31</f>
        <v>0</v>
      </c>
    </row>
    <row r="32" customFormat="false" ht="15" hidden="false" customHeight="false" outlineLevel="0" collapsed="false">
      <c r="A32" s="23" t="s">
        <v>16</v>
      </c>
      <c r="B32" s="23" t="str">
        <f aca="false">'Base Receitas'!A32</f>
        <v>Fevereiro</v>
      </c>
      <c r="C32" s="23" t="str">
        <f aca="false">'Base Receitas'!B32</f>
        <v>Receita recorrente</v>
      </c>
      <c r="D32" s="23" t="str">
        <f aca="false">'Base Receitas'!C32</f>
        <v>Fernet</v>
      </c>
      <c r="E32" s="24" t="n">
        <f aca="false">'Base Receitas'!F32</f>
        <v>1200</v>
      </c>
      <c r="F32" s="23" t="str">
        <f aca="false">'Base Receitas'!D32</f>
        <v>Boleto/Nf</v>
      </c>
      <c r="G32" s="23" t="str">
        <f aca="false">'Base Receitas'!I32</f>
        <v>PAGO</v>
      </c>
      <c r="H32" s="23" t="n">
        <f aca="false">'Base Receitas'!E32</f>
        <v>25</v>
      </c>
      <c r="I32" s="23" t="n">
        <f aca="false">'Base Receitas'!H32</f>
        <v>0</v>
      </c>
      <c r="J32" s="23" t="str">
        <f aca="false">'Base Receitas'!G32</f>
        <v>PARCELA 2/4</v>
      </c>
    </row>
    <row r="33" customFormat="false" ht="15" hidden="false" customHeight="false" outlineLevel="0" collapsed="false">
      <c r="A33" s="23" t="s">
        <v>16</v>
      </c>
      <c r="B33" s="23" t="str">
        <f aca="false">'Base Receitas'!A33</f>
        <v>Fevereiro</v>
      </c>
      <c r="C33" s="23" t="str">
        <f aca="false">'Base Receitas'!B33</f>
        <v>Receita recorrente</v>
      </c>
      <c r="D33" s="23" t="n">
        <f aca="false">'Base Receitas'!C33</f>
        <v>0</v>
      </c>
      <c r="E33" s="24" t="n">
        <f aca="false">'Base Receitas'!F33</f>
        <v>0</v>
      </c>
      <c r="F33" s="23" t="str">
        <f aca="false">'Base Receitas'!D33</f>
        <v>Pix</v>
      </c>
      <c r="G33" s="23" t="n">
        <f aca="false">'Base Receitas'!I33</f>
        <v>0</v>
      </c>
      <c r="H33" s="23" t="n">
        <f aca="false">'Base Receitas'!E33</f>
        <v>0</v>
      </c>
      <c r="I33" s="23" t="n">
        <f aca="false">'Base Receitas'!H33</f>
        <v>0</v>
      </c>
      <c r="J33" s="23" t="n">
        <f aca="false">'Base Receitas'!G33</f>
        <v>0</v>
      </c>
    </row>
    <row r="34" customFormat="false" ht="15" hidden="false" customHeight="false" outlineLevel="0" collapsed="false">
      <c r="A34" s="23" t="s">
        <v>16</v>
      </c>
      <c r="B34" s="23" t="str">
        <f aca="false">'Base Receitas'!A34</f>
        <v>Fevereiro</v>
      </c>
      <c r="C34" s="23" t="str">
        <f aca="false">'Base Receitas'!B34</f>
        <v>Receita recorrente</v>
      </c>
      <c r="D34" s="23" t="str">
        <f aca="false">'Base Receitas'!C34</f>
        <v>Hygge Games Intern. </v>
      </c>
      <c r="E34" s="24" t="n">
        <f aca="false">'Base Receitas'!F34</f>
        <v>2000</v>
      </c>
      <c r="F34" s="23" t="str">
        <f aca="false">'Base Receitas'!D34</f>
        <v>Invoice </v>
      </c>
      <c r="G34" s="23" t="str">
        <f aca="false">'Base Receitas'!I34</f>
        <v>PENDENTE</v>
      </c>
      <c r="H34" s="23" t="n">
        <f aca="false">'Base Receitas'!E34</f>
        <v>25</v>
      </c>
      <c r="I34" s="35" t="n">
        <f aca="false">'Base Receitas'!H34</f>
        <v>46023</v>
      </c>
      <c r="J34" s="23" t="str">
        <f aca="false">'Base Receitas'!G34</f>
        <v>contrato  </v>
      </c>
    </row>
    <row r="35" customFormat="false" ht="15" hidden="false" customHeight="false" outlineLevel="0" collapsed="false">
      <c r="A35" s="23" t="s">
        <v>16</v>
      </c>
      <c r="B35" s="23" t="str">
        <f aca="false">'Base Receitas'!A35</f>
        <v>Fevereiro</v>
      </c>
      <c r="C35" s="23" t="str">
        <f aca="false">'Base Receitas'!B35</f>
        <v>Receita recorrente</v>
      </c>
      <c r="D35" s="23" t="str">
        <f aca="false">'Base Receitas'!C35</f>
        <v>Redomo Energia </v>
      </c>
      <c r="E35" s="24" t="n">
        <f aca="false">'Base Receitas'!F35</f>
        <v>1350</v>
      </c>
      <c r="F35" s="23" t="str">
        <f aca="false">'Base Receitas'!D35</f>
        <v>Boleto / NF  </v>
      </c>
      <c r="G35" s="23" t="str">
        <f aca="false">'Base Receitas'!I35</f>
        <v>PAGO</v>
      </c>
      <c r="H35" s="23" t="n">
        <f aca="false">'Base Receitas'!E35</f>
        <v>25</v>
      </c>
      <c r="I35" s="35" t="n">
        <f aca="false">'Base Receitas'!H35</f>
        <v>46023</v>
      </c>
      <c r="J35" s="23" t="str">
        <f aca="false">'Base Receitas'!G35</f>
        <v>contrato  </v>
      </c>
    </row>
    <row r="36" customFormat="false" ht="15" hidden="false" customHeight="false" outlineLevel="0" collapsed="false">
      <c r="A36" s="23" t="s">
        <v>16</v>
      </c>
      <c r="B36" s="23" t="str">
        <f aca="false">'Base Receitas'!A36</f>
        <v>Fevereiro</v>
      </c>
      <c r="C36" s="23" t="str">
        <f aca="false">'Base Receitas'!B36</f>
        <v>Receita recorrente</v>
      </c>
      <c r="D36" s="23" t="str">
        <f aca="false">'Base Receitas'!C36</f>
        <v>ADRIFER</v>
      </c>
      <c r="E36" s="24" t="n">
        <f aca="false">'Base Receitas'!F36</f>
        <v>1900</v>
      </c>
      <c r="F36" s="23" t="str">
        <f aca="false">'Base Receitas'!D36</f>
        <v>Boleto / NF</v>
      </c>
      <c r="G36" s="23" t="str">
        <f aca="false">'Base Receitas'!I36</f>
        <v>PAGO</v>
      </c>
      <c r="H36" s="23" t="n">
        <f aca="false">'Base Receitas'!E36</f>
        <v>25</v>
      </c>
      <c r="I36" s="35" t="n">
        <f aca="false">'Base Receitas'!H36</f>
        <v>46054</v>
      </c>
      <c r="J36" s="23" t="str">
        <f aca="false">'Base Receitas'!G36</f>
        <v>parcela 1/3</v>
      </c>
    </row>
    <row r="37" customFormat="false" ht="15" hidden="false" customHeight="false" outlineLevel="0" collapsed="false">
      <c r="A37" s="23" t="s">
        <v>16</v>
      </c>
      <c r="B37" s="23" t="str">
        <f aca="false">'Base Receitas'!A37</f>
        <v>Fevereiro</v>
      </c>
      <c r="C37" s="23" t="str">
        <f aca="false">'Base Receitas'!B37</f>
        <v>Receita recorrente</v>
      </c>
      <c r="D37" s="23" t="str">
        <f aca="false">'Base Receitas'!C37</f>
        <v>Agência CMA </v>
      </c>
      <c r="E37" s="24" t="n">
        <f aca="false">'Base Receitas'!F37</f>
        <v>4000</v>
      </c>
      <c r="F37" s="23" t="str">
        <f aca="false">'Base Receitas'!D37</f>
        <v>PIX / NF</v>
      </c>
      <c r="G37" s="23" t="str">
        <f aca="false">'Base Receitas'!I37</f>
        <v>PAGO</v>
      </c>
      <c r="H37" s="23" t="n">
        <f aca="false">'Base Receitas'!E37</f>
        <v>30</v>
      </c>
      <c r="I37" s="35" t="n">
        <f aca="false">'Base Receitas'!H37</f>
        <v>46054</v>
      </c>
      <c r="J37" s="23" t="n">
        <f aca="false">'Base Receitas'!G37</f>
        <v>0</v>
      </c>
    </row>
    <row r="38" customFormat="false" ht="15" hidden="false" customHeight="false" outlineLevel="0" collapsed="false">
      <c r="A38" s="23" t="s">
        <v>16</v>
      </c>
      <c r="B38" s="23" t="str">
        <f aca="false">'Base Receitas'!A38</f>
        <v>Fevereiro</v>
      </c>
      <c r="C38" s="23" t="str">
        <f aca="false">'Base Receitas'!B38</f>
        <v>Receita recorrente</v>
      </c>
      <c r="D38" s="23" t="str">
        <f aca="false">'Base Receitas'!C38</f>
        <v>Planet Korea</v>
      </c>
      <c r="E38" s="24" t="n">
        <f aca="false">'Base Receitas'!F38</f>
        <v>0</v>
      </c>
      <c r="F38" s="23" t="n">
        <f aca="false">'Base Receitas'!D38</f>
        <v>0</v>
      </c>
      <c r="G38" s="23" t="n">
        <f aca="false">'Base Receitas'!I38</f>
        <v>0</v>
      </c>
      <c r="H38" s="23" t="n">
        <f aca="false">'Base Receitas'!E38</f>
        <v>0</v>
      </c>
      <c r="I38" s="35" t="n">
        <f aca="false">'Base Receitas'!H38</f>
        <v>46054</v>
      </c>
      <c r="J38" s="23" t="n">
        <f aca="false">'Base Receitas'!G38</f>
        <v>0</v>
      </c>
    </row>
    <row r="39" customFormat="false" ht="15" hidden="false" customHeight="false" outlineLevel="0" collapsed="false">
      <c r="A39" s="23" t="s">
        <v>16</v>
      </c>
      <c r="B39" s="23" t="str">
        <f aca="false">'Base Receitas'!A39</f>
        <v>Fevereiro</v>
      </c>
      <c r="C39" s="23" t="str">
        <f aca="false">'Base Receitas'!B39</f>
        <v>Receita recorrente</v>
      </c>
      <c r="D39" s="23" t="str">
        <f aca="false">'Base Receitas'!C39</f>
        <v>ELAGE AÇAI</v>
      </c>
      <c r="E39" s="24" t="n">
        <f aca="false">'Base Receitas'!F39</f>
        <v>2000</v>
      </c>
      <c r="F39" s="23" t="str">
        <f aca="false">'Base Receitas'!D39</f>
        <v>PIX /  NF</v>
      </c>
      <c r="G39" s="23" t="str">
        <f aca="false">'Base Receitas'!I39</f>
        <v>PENDENTE</v>
      </c>
      <c r="H39" s="23" t="n">
        <f aca="false">'Base Receitas'!E39</f>
        <v>30</v>
      </c>
      <c r="I39" s="35" t="n">
        <f aca="false">'Base Receitas'!H39</f>
        <v>46054</v>
      </c>
      <c r="J39" s="23" t="str">
        <f aca="false">'Base Receitas'!G39</f>
        <v>parcela 2/6</v>
      </c>
    </row>
    <row r="40" customFormat="false" ht="15" hidden="false" customHeight="false" outlineLevel="0" collapsed="false">
      <c r="A40" s="23" t="s">
        <v>16</v>
      </c>
      <c r="B40" s="23" t="str">
        <f aca="false">'Base Receitas'!A40</f>
        <v>Fevereiro</v>
      </c>
      <c r="C40" s="23" t="str">
        <f aca="false">'Base Receitas'!B40</f>
        <v>Receita recorrente</v>
      </c>
      <c r="D40" s="23" t="str">
        <f aca="false">'Base Receitas'!C40</f>
        <v>Hygge Games </v>
      </c>
      <c r="E40" s="24" t="n">
        <f aca="false">'Base Receitas'!F40</f>
        <v>3000</v>
      </c>
      <c r="F40" s="23" t="str">
        <f aca="false">'Base Receitas'!D40</f>
        <v>Boleto / NF </v>
      </c>
      <c r="G40" s="23" t="str">
        <f aca="false">'Base Receitas'!I40</f>
        <v>PAGO</v>
      </c>
      <c r="H40" s="23" t="n">
        <f aca="false">'Base Receitas'!E40</f>
        <v>28</v>
      </c>
      <c r="I40" s="35" t="n">
        <f aca="false">'Base Receitas'!H40</f>
        <v>46054</v>
      </c>
      <c r="J40" s="23" t="str">
        <f aca="false">'Base Receitas'!G40</f>
        <v>contrato  </v>
      </c>
    </row>
    <row r="41" customFormat="false" ht="15" hidden="false" customHeight="false" outlineLevel="0" collapsed="false">
      <c r="A41" s="23" t="s">
        <v>16</v>
      </c>
      <c r="B41" s="23" t="str">
        <f aca="false">'Base Receitas'!A41</f>
        <v>Fevereiro</v>
      </c>
      <c r="C41" s="23" t="str">
        <f aca="false">'Base Receitas'!B41</f>
        <v>Receita recorrente</v>
      </c>
      <c r="D41" s="23" t="str">
        <f aca="false">'Base Receitas'!C41</f>
        <v>Cemitério Cantareira </v>
      </c>
      <c r="E41" s="24" t="n">
        <f aca="false">'Base Receitas'!F41</f>
        <v>2750</v>
      </c>
      <c r="F41" s="23" t="str">
        <f aca="false">'Base Receitas'!D41</f>
        <v>Boleto</v>
      </c>
      <c r="G41" s="23" t="str">
        <f aca="false">'Base Receitas'!I41</f>
        <v>PAGO</v>
      </c>
      <c r="H41" s="23" t="n">
        <f aca="false">'Base Receitas'!E41</f>
        <v>30</v>
      </c>
      <c r="I41" s="35" t="n">
        <f aca="false">'Base Receitas'!H41</f>
        <v>46054</v>
      </c>
      <c r="J41" s="23" t="str">
        <f aca="false">'Base Receitas'!G41</f>
        <v>contrato  </v>
      </c>
    </row>
    <row r="42" customFormat="false" ht="15" hidden="false" customHeight="false" outlineLevel="0" collapsed="false">
      <c r="A42" s="23" t="s">
        <v>16</v>
      </c>
      <c r="B42" s="23" t="str">
        <f aca="false">'Base Receitas'!A42</f>
        <v>Fevereiro</v>
      </c>
      <c r="C42" s="23" t="str">
        <f aca="false">'Base Receitas'!B42</f>
        <v>Receita recorrente</v>
      </c>
      <c r="D42" s="23" t="str">
        <f aca="false">'Base Receitas'!C42</f>
        <v>Daju Restaurante </v>
      </c>
      <c r="E42" s="24" t="n">
        <f aca="false">'Base Receitas'!F42</f>
        <v>600</v>
      </c>
      <c r="F42" s="23" t="str">
        <f aca="false">'Base Receitas'!D42</f>
        <v>PIX  / NF </v>
      </c>
      <c r="G42" s="23" t="str">
        <f aca="false">'Base Receitas'!I42</f>
        <v>PAGO</v>
      </c>
      <c r="H42" s="23" t="n">
        <f aca="false">'Base Receitas'!E42</f>
        <v>30</v>
      </c>
      <c r="I42" s="35" t="n">
        <f aca="false">'Base Receitas'!H42</f>
        <v>46054</v>
      </c>
      <c r="J42" s="23" t="str">
        <f aca="false">'Base Receitas'!G42</f>
        <v>contrato  </v>
      </c>
    </row>
    <row r="43" customFormat="false" ht="15" hidden="false" customHeight="false" outlineLevel="0" collapsed="false">
      <c r="A43" s="23" t="s">
        <v>16</v>
      </c>
      <c r="B43" s="23" t="str">
        <f aca="false">'Base Receitas'!A43</f>
        <v>Março</v>
      </c>
      <c r="C43" s="23" t="str">
        <f aca="false">'Base Receitas'!B43</f>
        <v>Receita recorrente</v>
      </c>
      <c r="D43" s="23" t="str">
        <f aca="false">'Base Receitas'!C43</f>
        <v>PROMPT</v>
      </c>
      <c r="E43" s="24" t="n">
        <f aca="false">'Base Receitas'!F43</f>
        <v>800</v>
      </c>
      <c r="F43" s="23" t="str">
        <f aca="false">'Base Receitas'!D43</f>
        <v>PIX </v>
      </c>
      <c r="G43" s="23" t="str">
        <f aca="false">'Base Receitas'!I43</f>
        <v>PAGO</v>
      </c>
      <c r="H43" s="23" t="n">
        <f aca="false">'Base Receitas'!E43</f>
        <v>5</v>
      </c>
      <c r="I43" s="35" t="n">
        <f aca="false">'Base Receitas'!H43</f>
        <v>46054</v>
      </c>
      <c r="J43" s="23" t="str">
        <f aca="false">'Base Receitas'!G43</f>
        <v>contrato  </v>
      </c>
    </row>
    <row r="44" customFormat="false" ht="15" hidden="false" customHeight="false" outlineLevel="0" collapsed="false">
      <c r="A44" s="23" t="s">
        <v>16</v>
      </c>
      <c r="B44" s="23" t="str">
        <f aca="false">'Base Receitas'!A44</f>
        <v>Março</v>
      </c>
      <c r="C44" s="23" t="str">
        <f aca="false">'Base Receitas'!B44</f>
        <v>Receita recorrente</v>
      </c>
      <c r="D44" s="23" t="str">
        <f aca="false">'Base Receitas'!C44</f>
        <v>Atlas </v>
      </c>
      <c r="E44" s="24" t="n">
        <f aca="false">'Base Receitas'!F44</f>
        <v>1200</v>
      </c>
      <c r="F44" s="23" t="str">
        <f aca="false">'Base Receitas'!D44</f>
        <v>Boleto / NF </v>
      </c>
      <c r="G44" s="23" t="n">
        <f aca="false">'Base Receitas'!I44</f>
        <v>0</v>
      </c>
      <c r="H44" s="23" t="n">
        <f aca="false">'Base Receitas'!E44</f>
        <v>5</v>
      </c>
      <c r="I44" s="35" t="n">
        <f aca="false">'Base Receitas'!H44</f>
        <v>46054</v>
      </c>
      <c r="J44" s="23" t="str">
        <f aca="false">'Base Receitas'!G44</f>
        <v>parcela 4/4</v>
      </c>
    </row>
    <row r="45" customFormat="false" ht="15" hidden="false" customHeight="false" outlineLevel="0" collapsed="false">
      <c r="A45" s="23" t="s">
        <v>16</v>
      </c>
      <c r="B45" s="23" t="str">
        <f aca="false">'Base Receitas'!A45</f>
        <v>Março</v>
      </c>
      <c r="C45" s="23" t="str">
        <f aca="false">'Base Receitas'!B45</f>
        <v>Receita recorrente</v>
      </c>
      <c r="D45" s="23" t="str">
        <f aca="false">'Base Receitas'!C45</f>
        <v>Promanage</v>
      </c>
      <c r="E45" s="24" t="n">
        <f aca="false">'Base Receitas'!F45</f>
        <v>750</v>
      </c>
      <c r="F45" s="23" t="str">
        <f aca="false">'Base Receitas'!D45</f>
        <v>Boleto / NF </v>
      </c>
      <c r="G45" s="23" t="str">
        <f aca="false">'Base Receitas'!I45</f>
        <v>PAGO</v>
      </c>
      <c r="H45" s="23" t="n">
        <f aca="false">'Base Receitas'!E45</f>
        <v>5</v>
      </c>
      <c r="I45" s="35" t="n">
        <f aca="false">'Base Receitas'!H45</f>
        <v>46082</v>
      </c>
      <c r="J45" s="23" t="str">
        <f aca="false">'Base Receitas'!G45</f>
        <v>parcela 4/4</v>
      </c>
    </row>
    <row r="46" customFormat="false" ht="15" hidden="false" customHeight="false" outlineLevel="0" collapsed="false">
      <c r="A46" s="23" t="s">
        <v>16</v>
      </c>
      <c r="B46" s="23" t="str">
        <f aca="false">'Base Receitas'!A46</f>
        <v>Março</v>
      </c>
      <c r="C46" s="23" t="str">
        <f aca="false">'Base Receitas'!B46</f>
        <v>Receita recorrente</v>
      </c>
      <c r="D46" s="23" t="str">
        <f aca="false">'Base Receitas'!C46</f>
        <v>Eletrotec</v>
      </c>
      <c r="E46" s="24" t="n">
        <f aca="false">'Base Receitas'!F46</f>
        <v>2750</v>
      </c>
      <c r="F46" s="23" t="str">
        <f aca="false">'Base Receitas'!D46</f>
        <v>Boleto / NF </v>
      </c>
      <c r="G46" s="23" t="str">
        <f aca="false">'Base Receitas'!I46</f>
        <v>PAGO</v>
      </c>
      <c r="H46" s="23" t="n">
        <f aca="false">'Base Receitas'!E46</f>
        <v>6</v>
      </c>
      <c r="I46" s="35" t="n">
        <f aca="false">'Base Receitas'!H46</f>
        <v>46082</v>
      </c>
      <c r="J46" s="23" t="str">
        <f aca="false">'Base Receitas'!G46</f>
        <v>parcela 2/3</v>
      </c>
    </row>
    <row r="47" customFormat="false" ht="15" hidden="false" customHeight="false" outlineLevel="0" collapsed="false">
      <c r="A47" s="23" t="s">
        <v>16</v>
      </c>
      <c r="B47" s="23" t="str">
        <f aca="false">'Base Receitas'!A47</f>
        <v>Março</v>
      </c>
      <c r="C47" s="23" t="str">
        <f aca="false">'Base Receitas'!B47</f>
        <v>Receita recorrente</v>
      </c>
      <c r="D47" s="23" t="str">
        <f aca="false">'Base Receitas'!C47</f>
        <v>Granitos Moredo</v>
      </c>
      <c r="E47" s="24" t="n">
        <f aca="false">'Base Receitas'!F47</f>
        <v>2500</v>
      </c>
      <c r="F47" s="23" t="str">
        <f aca="false">'Base Receitas'!D47</f>
        <v>Boleto / NF</v>
      </c>
      <c r="G47" s="23" t="n">
        <f aca="false">'Base Receitas'!I47</f>
        <v>0</v>
      </c>
      <c r="H47" s="23" t="n">
        <f aca="false">'Base Receitas'!E47</f>
        <v>10</v>
      </c>
      <c r="I47" s="35" t="n">
        <f aca="false">'Base Receitas'!H47</f>
        <v>46054</v>
      </c>
      <c r="J47" s="23" t="str">
        <f aca="false">'Base Receitas'!G47</f>
        <v>parcela 6/6</v>
      </c>
    </row>
    <row r="48" customFormat="false" ht="15" hidden="false" customHeight="false" outlineLevel="0" collapsed="false">
      <c r="A48" s="23" t="s">
        <v>16</v>
      </c>
      <c r="B48" s="23" t="str">
        <f aca="false">'Base Receitas'!A48</f>
        <v>Março</v>
      </c>
      <c r="C48" s="23" t="str">
        <f aca="false">'Base Receitas'!B48</f>
        <v>Receita recorrente</v>
      </c>
      <c r="D48" s="23" t="str">
        <f aca="false">'Base Receitas'!C48</f>
        <v>Kontainers </v>
      </c>
      <c r="E48" s="24" t="n">
        <f aca="false">'Base Receitas'!F48</f>
        <v>1500</v>
      </c>
      <c r="F48" s="23" t="str">
        <f aca="false">'Base Receitas'!D48</f>
        <v>Boleto / NF </v>
      </c>
      <c r="G48" s="23" t="n">
        <f aca="false">'Base Receitas'!I48</f>
        <v>0</v>
      </c>
      <c r="H48" s="23" t="n">
        <f aca="false">'Base Receitas'!E48</f>
        <v>12</v>
      </c>
      <c r="I48" s="35" t="n">
        <f aca="false">'Base Receitas'!H48</f>
        <v>46082</v>
      </c>
      <c r="J48" s="23" t="str">
        <f aca="false">'Base Receitas'!G48</f>
        <v>contrato  </v>
      </c>
    </row>
    <row r="49" customFormat="false" ht="15" hidden="false" customHeight="false" outlineLevel="0" collapsed="false">
      <c r="A49" s="23" t="s">
        <v>16</v>
      </c>
      <c r="B49" s="23" t="str">
        <f aca="false">'Base Receitas'!A49</f>
        <v>Março</v>
      </c>
      <c r="C49" s="23" t="str">
        <f aca="false">'Base Receitas'!B49</f>
        <v>Receita recorrente</v>
      </c>
      <c r="D49" s="23" t="str">
        <f aca="false">'Base Receitas'!C49</f>
        <v>FreePort </v>
      </c>
      <c r="E49" s="24" t="n">
        <f aca="false">'Base Receitas'!F49</f>
        <v>600</v>
      </c>
      <c r="F49" s="23" t="str">
        <f aca="false">'Base Receitas'!D49</f>
        <v>PIX / NF  </v>
      </c>
      <c r="G49" s="23" t="n">
        <f aca="false">'Base Receitas'!I49</f>
        <v>0</v>
      </c>
      <c r="H49" s="23" t="n">
        <f aca="false">'Base Receitas'!E49</f>
        <v>16</v>
      </c>
      <c r="I49" s="35" t="n">
        <f aca="false">'Base Receitas'!H49</f>
        <v>46082</v>
      </c>
      <c r="J49" s="23" t="str">
        <f aca="false">'Base Receitas'!G49</f>
        <v>contrato  </v>
      </c>
    </row>
    <row r="50" customFormat="false" ht="15" hidden="false" customHeight="false" outlineLevel="0" collapsed="false">
      <c r="A50" s="23" t="s">
        <v>16</v>
      </c>
      <c r="B50" s="23" t="str">
        <f aca="false">'Base Receitas'!A50</f>
        <v>Março</v>
      </c>
      <c r="C50" s="23" t="str">
        <f aca="false">'Base Receitas'!B50</f>
        <v>Receita recorrente</v>
      </c>
      <c r="D50" s="23" t="str">
        <f aca="false">'Base Receitas'!C50</f>
        <v>Murilo Eng</v>
      </c>
      <c r="E50" s="24" t="n">
        <f aca="false">'Base Receitas'!F50</f>
        <v>1000</v>
      </c>
      <c r="F50" s="23" t="n">
        <f aca="false">'Base Receitas'!D50</f>
        <v>0</v>
      </c>
      <c r="G50" s="23" t="n">
        <f aca="false">'Base Receitas'!I50</f>
        <v>0</v>
      </c>
      <c r="H50" s="23" t="n">
        <f aca="false">'Base Receitas'!E50</f>
        <v>0</v>
      </c>
      <c r="I50" s="23" t="n">
        <f aca="false">'Base Receitas'!H50</f>
        <v>0</v>
      </c>
      <c r="J50" s="23" t="n">
        <f aca="false">'Base Receitas'!G50</f>
        <v>0</v>
      </c>
    </row>
    <row r="51" customFormat="false" ht="15" hidden="false" customHeight="false" outlineLevel="0" collapsed="false">
      <c r="A51" s="23" t="s">
        <v>16</v>
      </c>
      <c r="B51" s="23" t="str">
        <f aca="false">'Base Receitas'!A51</f>
        <v>Março</v>
      </c>
      <c r="C51" s="23" t="str">
        <f aca="false">'Base Receitas'!B51</f>
        <v>Receita recorrente</v>
      </c>
      <c r="D51" s="23" t="str">
        <f aca="false">'Base Receitas'!C51</f>
        <v>Fernet</v>
      </c>
      <c r="E51" s="24" t="n">
        <f aca="false">'Base Receitas'!F51</f>
        <v>1200</v>
      </c>
      <c r="F51" s="23" t="str">
        <f aca="false">'Base Receitas'!D51</f>
        <v>Boleto/Nf</v>
      </c>
      <c r="G51" s="23" t="n">
        <f aca="false">'Base Receitas'!I51</f>
        <v>0</v>
      </c>
      <c r="H51" s="23" t="n">
        <f aca="false">'Base Receitas'!E51</f>
        <v>25</v>
      </c>
      <c r="I51" s="23" t="n">
        <f aca="false">'Base Receitas'!H51</f>
        <v>0</v>
      </c>
      <c r="J51" s="23" t="str">
        <f aca="false">'Base Receitas'!G51</f>
        <v>PARCELA 3/4</v>
      </c>
    </row>
    <row r="52" customFormat="false" ht="15" hidden="false" customHeight="false" outlineLevel="0" collapsed="false">
      <c r="A52" s="23" t="s">
        <v>16</v>
      </c>
      <c r="B52" s="23" t="str">
        <f aca="false">'Base Receitas'!A52</f>
        <v>Março</v>
      </c>
      <c r="C52" s="23" t="str">
        <f aca="false">'Base Receitas'!B52</f>
        <v>Receita recorrente</v>
      </c>
      <c r="D52" s="23" t="str">
        <f aca="false">'Base Receitas'!C52</f>
        <v>Wolf</v>
      </c>
      <c r="E52" s="24" t="n">
        <f aca="false">'Base Receitas'!F52</f>
        <v>0</v>
      </c>
      <c r="F52" s="23" t="str">
        <f aca="false">'Base Receitas'!D52</f>
        <v>Pix</v>
      </c>
      <c r="G52" s="23" t="n">
        <f aca="false">'Base Receitas'!I52</f>
        <v>0</v>
      </c>
      <c r="H52" s="23" t="n">
        <f aca="false">'Base Receitas'!E52</f>
        <v>0</v>
      </c>
      <c r="I52" s="23" t="n">
        <f aca="false">'Base Receitas'!H52</f>
        <v>0</v>
      </c>
      <c r="J52" s="23" t="n">
        <f aca="false">'Base Receitas'!G52</f>
        <v>0</v>
      </c>
    </row>
    <row r="53" customFormat="false" ht="15" hidden="false" customHeight="false" outlineLevel="0" collapsed="false">
      <c r="A53" s="23" t="s">
        <v>16</v>
      </c>
      <c r="B53" s="23" t="str">
        <f aca="false">'Base Receitas'!A53</f>
        <v>Março</v>
      </c>
      <c r="C53" s="23" t="str">
        <f aca="false">'Base Receitas'!B53</f>
        <v>Receita recorrente</v>
      </c>
      <c r="D53" s="23" t="str">
        <f aca="false">'Base Receitas'!C53</f>
        <v>Hygge Games Intern. </v>
      </c>
      <c r="E53" s="24" t="n">
        <f aca="false">'Base Receitas'!F53</f>
        <v>2000</v>
      </c>
      <c r="F53" s="23" t="str">
        <f aca="false">'Base Receitas'!D53</f>
        <v>Invoice </v>
      </c>
      <c r="G53" s="23" t="n">
        <f aca="false">'Base Receitas'!I53</f>
        <v>0</v>
      </c>
      <c r="H53" s="23" t="n">
        <f aca="false">'Base Receitas'!E53</f>
        <v>25</v>
      </c>
      <c r="I53" s="35" t="n">
        <f aca="false">'Base Receitas'!H53</f>
        <v>46054</v>
      </c>
      <c r="J53" s="23" t="str">
        <f aca="false">'Base Receitas'!G53</f>
        <v>contrato  </v>
      </c>
    </row>
    <row r="54" customFormat="false" ht="15" hidden="false" customHeight="false" outlineLevel="0" collapsed="false">
      <c r="A54" s="23" t="s">
        <v>16</v>
      </c>
      <c r="B54" s="23" t="str">
        <f aca="false">'Base Receitas'!A54</f>
        <v>Março</v>
      </c>
      <c r="C54" s="23" t="str">
        <f aca="false">'Base Receitas'!B54</f>
        <v>Receita recorrente</v>
      </c>
      <c r="D54" s="23" t="str">
        <f aca="false">'Base Receitas'!C54</f>
        <v>Redomo Energia </v>
      </c>
      <c r="E54" s="24" t="n">
        <f aca="false">'Base Receitas'!F54</f>
        <v>1350</v>
      </c>
      <c r="F54" s="23" t="str">
        <f aca="false">'Base Receitas'!D54</f>
        <v>Boleto / NF  </v>
      </c>
      <c r="G54" s="23" t="n">
        <f aca="false">'Base Receitas'!I54</f>
        <v>0</v>
      </c>
      <c r="H54" s="23" t="n">
        <f aca="false">'Base Receitas'!E54</f>
        <v>25</v>
      </c>
      <c r="I54" s="35" t="n">
        <f aca="false">'Base Receitas'!H54</f>
        <v>46054</v>
      </c>
      <c r="J54" s="23" t="str">
        <f aca="false">'Base Receitas'!G54</f>
        <v>contrato  </v>
      </c>
    </row>
    <row r="55" customFormat="false" ht="15" hidden="false" customHeight="false" outlineLevel="0" collapsed="false">
      <c r="A55" s="23" t="s">
        <v>16</v>
      </c>
      <c r="B55" s="23" t="str">
        <f aca="false">'Base Receitas'!A55</f>
        <v>Março</v>
      </c>
      <c r="C55" s="23" t="str">
        <f aca="false">'Base Receitas'!B55</f>
        <v>Receita recorrente</v>
      </c>
      <c r="D55" s="23" t="str">
        <f aca="false">'Base Receitas'!C55</f>
        <v>ADRIFER</v>
      </c>
      <c r="E55" s="24" t="n">
        <f aca="false">'Base Receitas'!F55</f>
        <v>1900</v>
      </c>
      <c r="F55" s="23" t="str">
        <f aca="false">'Base Receitas'!D55</f>
        <v>Boleto / NF</v>
      </c>
      <c r="G55" s="23" t="n">
        <f aca="false">'Base Receitas'!I55</f>
        <v>0</v>
      </c>
      <c r="H55" s="23" t="n">
        <f aca="false">'Base Receitas'!E55</f>
        <v>25</v>
      </c>
      <c r="I55" s="35" t="n">
        <f aca="false">'Base Receitas'!H55</f>
        <v>46082</v>
      </c>
      <c r="J55" s="23" t="str">
        <f aca="false">'Base Receitas'!G55</f>
        <v>parcela 2/3</v>
      </c>
    </row>
    <row r="56" customFormat="false" ht="15" hidden="false" customHeight="false" outlineLevel="0" collapsed="false">
      <c r="A56" s="23" t="s">
        <v>16</v>
      </c>
      <c r="B56" s="23" t="str">
        <f aca="false">'Base Receitas'!A56</f>
        <v>Março</v>
      </c>
      <c r="C56" s="23" t="str">
        <f aca="false">'Base Receitas'!B56</f>
        <v>Receita recorrente</v>
      </c>
      <c r="D56" s="23" t="str">
        <f aca="false">'Base Receitas'!C56</f>
        <v>Agência CMA </v>
      </c>
      <c r="E56" s="24" t="n">
        <f aca="false">'Base Receitas'!F56</f>
        <v>4500</v>
      </c>
      <c r="F56" s="23" t="str">
        <f aca="false">'Base Receitas'!D56</f>
        <v>PIX / NF</v>
      </c>
      <c r="G56" s="23" t="n">
        <f aca="false">'Base Receitas'!I56</f>
        <v>0</v>
      </c>
      <c r="H56" s="23" t="n">
        <f aca="false">'Base Receitas'!E56</f>
        <v>30</v>
      </c>
      <c r="I56" s="35" t="n">
        <f aca="false">'Base Receitas'!H56</f>
        <v>46082</v>
      </c>
      <c r="J56" s="23" t="n">
        <f aca="false">'Base Receitas'!G56</f>
        <v>0</v>
      </c>
    </row>
    <row r="57" customFormat="false" ht="15" hidden="false" customHeight="false" outlineLevel="0" collapsed="false">
      <c r="A57" s="23" t="s">
        <v>16</v>
      </c>
      <c r="B57" s="23" t="str">
        <f aca="false">'Base Receitas'!A57</f>
        <v>Março</v>
      </c>
      <c r="C57" s="23" t="str">
        <f aca="false">'Base Receitas'!B57</f>
        <v>Receita recorrente</v>
      </c>
      <c r="D57" s="23" t="str">
        <f aca="false">'Base Receitas'!C57</f>
        <v>ELAGE AÇAI</v>
      </c>
      <c r="E57" s="24" t="n">
        <f aca="false">'Base Receitas'!F57</f>
        <v>2000</v>
      </c>
      <c r="F57" s="23" t="str">
        <f aca="false">'Base Receitas'!D57</f>
        <v>PIX /  NF</v>
      </c>
      <c r="G57" s="23" t="n">
        <f aca="false">'Base Receitas'!I57</f>
        <v>0</v>
      </c>
      <c r="H57" s="23" t="n">
        <f aca="false">'Base Receitas'!E57</f>
        <v>30</v>
      </c>
      <c r="I57" s="35" t="n">
        <f aca="false">'Base Receitas'!H57</f>
        <v>46082</v>
      </c>
      <c r="J57" s="23" t="str">
        <f aca="false">'Base Receitas'!G57</f>
        <v>parcela 3/6</v>
      </c>
    </row>
    <row r="58" customFormat="false" ht="15" hidden="false" customHeight="false" outlineLevel="0" collapsed="false">
      <c r="A58" s="23" t="s">
        <v>16</v>
      </c>
      <c r="B58" s="23" t="str">
        <f aca="false">'Base Receitas'!A58</f>
        <v>Março</v>
      </c>
      <c r="C58" s="23" t="str">
        <f aca="false">'Base Receitas'!B58</f>
        <v>Receita recorrente</v>
      </c>
      <c r="D58" s="23" t="str">
        <f aca="false">'Base Receitas'!C58</f>
        <v>Hygge Games </v>
      </c>
      <c r="E58" s="24" t="n">
        <f aca="false">'Base Receitas'!F58</f>
        <v>3000</v>
      </c>
      <c r="F58" s="23" t="str">
        <f aca="false">'Base Receitas'!D58</f>
        <v>Boleto / NF </v>
      </c>
      <c r="G58" s="23" t="n">
        <f aca="false">'Base Receitas'!I58</f>
        <v>0</v>
      </c>
      <c r="H58" s="23" t="n">
        <f aca="false">'Base Receitas'!E58</f>
        <v>28</v>
      </c>
      <c r="I58" s="35" t="n">
        <f aca="false">'Base Receitas'!H58</f>
        <v>46082</v>
      </c>
      <c r="J58" s="23" t="str">
        <f aca="false">'Base Receitas'!G58</f>
        <v>contrato  </v>
      </c>
    </row>
    <row r="59" customFormat="false" ht="15" hidden="false" customHeight="false" outlineLevel="0" collapsed="false">
      <c r="A59" s="23" t="s">
        <v>16</v>
      </c>
      <c r="B59" s="23" t="str">
        <f aca="false">'Base Receitas'!A59</f>
        <v>Março</v>
      </c>
      <c r="C59" s="23" t="str">
        <f aca="false">'Base Receitas'!B59</f>
        <v>Receita recorrente</v>
      </c>
      <c r="D59" s="23" t="str">
        <f aca="false">'Base Receitas'!C59</f>
        <v>Cemitério Cantareira </v>
      </c>
      <c r="E59" s="24" t="n">
        <f aca="false">'Base Receitas'!F59</f>
        <v>2000</v>
      </c>
      <c r="F59" s="23" t="str">
        <f aca="false">'Base Receitas'!D59</f>
        <v>Boleto</v>
      </c>
      <c r="G59" s="23" t="n">
        <f aca="false">'Base Receitas'!I59</f>
        <v>0</v>
      </c>
      <c r="H59" s="23" t="n">
        <f aca="false">'Base Receitas'!E59</f>
        <v>30</v>
      </c>
      <c r="I59" s="35" t="n">
        <f aca="false">'Base Receitas'!H59</f>
        <v>46082</v>
      </c>
      <c r="J59" s="23" t="str">
        <f aca="false">'Base Receitas'!G59</f>
        <v>contrato  </v>
      </c>
    </row>
    <row r="60" customFormat="false" ht="15" hidden="false" customHeight="false" outlineLevel="0" collapsed="false">
      <c r="A60" s="23" t="s">
        <v>16</v>
      </c>
      <c r="B60" s="23" t="str">
        <f aca="false">'Base Receitas'!A60</f>
        <v>Março</v>
      </c>
      <c r="C60" s="23" t="str">
        <f aca="false">'Base Receitas'!B60</f>
        <v>Receita recorrente</v>
      </c>
      <c r="D60" s="23" t="str">
        <f aca="false">'Base Receitas'!C60</f>
        <v>Daju Restaurante </v>
      </c>
      <c r="E60" s="24" t="n">
        <f aca="false">'Base Receitas'!F60</f>
        <v>0</v>
      </c>
      <c r="F60" s="23" t="str">
        <f aca="false">'Base Receitas'!D60</f>
        <v>PIX  / NF </v>
      </c>
      <c r="G60" s="23" t="n">
        <f aca="false">'Base Receitas'!I60</f>
        <v>0</v>
      </c>
      <c r="H60" s="23" t="n">
        <f aca="false">'Base Receitas'!E60</f>
        <v>30</v>
      </c>
      <c r="I60" s="35" t="n">
        <f aca="false">'Base Receitas'!H60</f>
        <v>46082</v>
      </c>
      <c r="J60" s="23" t="str">
        <f aca="false">'Base Receitas'!G60</f>
        <v>contrato  </v>
      </c>
    </row>
    <row r="61" customFormat="false" ht="15" hidden="false" customHeight="false" outlineLevel="0" collapsed="false">
      <c r="A61" s="23" t="s">
        <v>17</v>
      </c>
      <c r="B61" s="23" t="str">
        <f aca="false">'Base Despesas'!A2</f>
        <v>Janeiro</v>
      </c>
      <c r="C61" s="23" t="str">
        <f aca="false">'Base Despesas'!B2</f>
        <v>Salários e Benefícios</v>
      </c>
      <c r="D61" s="23" t="str">
        <f aca="false">'Base Despesas'!C2</f>
        <v>Gestor de Tráfego - Eduardo Alves</v>
      </c>
      <c r="E61" s="24" t="n">
        <f aca="false">'Base Despesas'!D2</f>
        <v>3446</v>
      </c>
      <c r="F61" s="23" t="str">
        <f aca="false">'Base Despesas'!F2</f>
        <v>Pix</v>
      </c>
      <c r="G61" s="23" t="str">
        <f aca="false">'Base Despesas'!G2</f>
        <v>PAGO</v>
      </c>
      <c r="H61" s="23" t="n">
        <f aca="false">'Base Despesas'!E2</f>
        <v>20</v>
      </c>
      <c r="I61" s="23" t="n">
        <f aca="false">'Base Despesas'!I2</f>
        <v>0</v>
      </c>
      <c r="J61" s="23" t="n">
        <f aca="false">'Base Despesas'!H2</f>
        <v>0</v>
      </c>
    </row>
    <row r="62" customFormat="false" ht="15" hidden="false" customHeight="false" outlineLevel="0" collapsed="false">
      <c r="A62" s="23" t="s">
        <v>17</v>
      </c>
      <c r="B62" s="23" t="str">
        <f aca="false">'Base Despesas'!A3</f>
        <v>Fevereiro</v>
      </c>
      <c r="C62" s="23" t="str">
        <f aca="false">'Base Despesas'!B3</f>
        <v>Salários e Benefícios</v>
      </c>
      <c r="D62" s="23" t="str">
        <f aca="false">'Base Despesas'!C3</f>
        <v>Gestor de Tráfego - Eduardo Alves</v>
      </c>
      <c r="E62" s="24" t="n">
        <f aca="false">'Base Despesas'!D3</f>
        <v>3446</v>
      </c>
      <c r="F62" s="23" t="n">
        <f aca="false">'Base Despesas'!F3</f>
        <v>0</v>
      </c>
      <c r="G62" s="23" t="str">
        <f aca="false">'Base Despesas'!G3</f>
        <v>PAGO</v>
      </c>
      <c r="H62" s="23" t="n">
        <f aca="false">'Base Despesas'!E3</f>
        <v>20</v>
      </c>
      <c r="I62" s="23" t="n">
        <f aca="false">'Base Despesas'!I3</f>
        <v>0</v>
      </c>
      <c r="J62" s="23" t="n">
        <f aca="false">'Base Despesas'!H3</f>
        <v>0</v>
      </c>
    </row>
    <row r="63" customFormat="false" ht="15" hidden="false" customHeight="false" outlineLevel="0" collapsed="false">
      <c r="A63" s="23" t="s">
        <v>17</v>
      </c>
      <c r="B63" s="23" t="str">
        <f aca="false">'Base Despesas'!A4</f>
        <v>Março</v>
      </c>
      <c r="C63" s="23" t="str">
        <f aca="false">'Base Despesas'!B4</f>
        <v>Salários e Benefícios</v>
      </c>
      <c r="D63" s="23" t="str">
        <f aca="false">'Base Despesas'!C4</f>
        <v>Gestor de Tráfego - Eduardo Alves</v>
      </c>
      <c r="E63" s="24" t="n">
        <f aca="false">'Base Despesas'!D4</f>
        <v>3446</v>
      </c>
      <c r="F63" s="23" t="n">
        <f aca="false">'Base Despesas'!F4</f>
        <v>0</v>
      </c>
      <c r="G63" s="23" t="n">
        <f aca="false">'Base Despesas'!G4</f>
        <v>0</v>
      </c>
      <c r="H63" s="23" t="n">
        <f aca="false">'Base Despesas'!E4</f>
        <v>20</v>
      </c>
      <c r="I63" s="23" t="n">
        <f aca="false">'Base Despesas'!I4</f>
        <v>0</v>
      </c>
      <c r="J63" s="23" t="n">
        <f aca="false">'Base Despesas'!H4</f>
        <v>0</v>
      </c>
    </row>
    <row r="64" customFormat="false" ht="15" hidden="false" customHeight="false" outlineLevel="0" collapsed="false">
      <c r="A64" s="23" t="s">
        <v>17</v>
      </c>
      <c r="B64" s="23" t="str">
        <f aca="false">'Base Despesas'!A5</f>
        <v>Abril</v>
      </c>
      <c r="C64" s="23" t="str">
        <f aca="false">'Base Despesas'!B5</f>
        <v>Salários e Benefícios</v>
      </c>
      <c r="D64" s="23" t="str">
        <f aca="false">'Base Despesas'!C5</f>
        <v>Gestor de Tráfego - Eduardo Alves</v>
      </c>
      <c r="E64" s="24" t="n">
        <f aca="false">'Base Despesas'!D5</f>
        <v>3446</v>
      </c>
      <c r="F64" s="23" t="n">
        <f aca="false">'Base Despesas'!F5</f>
        <v>0</v>
      </c>
      <c r="G64" s="23" t="n">
        <f aca="false">'Base Despesas'!G5</f>
        <v>0</v>
      </c>
      <c r="H64" s="23" t="n">
        <f aca="false">'Base Despesas'!E5</f>
        <v>20</v>
      </c>
      <c r="I64" s="23" t="n">
        <f aca="false">'Base Despesas'!I5</f>
        <v>0</v>
      </c>
      <c r="J64" s="23" t="n">
        <f aca="false">'Base Despesas'!H5</f>
        <v>0</v>
      </c>
    </row>
    <row r="65" customFormat="false" ht="15" hidden="false" customHeight="false" outlineLevel="0" collapsed="false">
      <c r="A65" s="23" t="s">
        <v>17</v>
      </c>
      <c r="B65" s="23" t="str">
        <f aca="false">'Base Despesas'!A6</f>
        <v>Maio</v>
      </c>
      <c r="C65" s="23" t="str">
        <f aca="false">'Base Despesas'!B6</f>
        <v>Salários e Benefícios</v>
      </c>
      <c r="D65" s="23" t="str">
        <f aca="false">'Base Despesas'!C6</f>
        <v>Gestor de Tráfego - Eduardo Alves</v>
      </c>
      <c r="E65" s="24" t="n">
        <f aca="false">'Base Despesas'!D6</f>
        <v>3446</v>
      </c>
      <c r="F65" s="23" t="n">
        <f aca="false">'Base Despesas'!F6</f>
        <v>0</v>
      </c>
      <c r="G65" s="23" t="n">
        <f aca="false">'Base Despesas'!G6</f>
        <v>0</v>
      </c>
      <c r="H65" s="23" t="n">
        <f aca="false">'Base Despesas'!E6</f>
        <v>20</v>
      </c>
      <c r="I65" s="23" t="n">
        <f aca="false">'Base Despesas'!I6</f>
        <v>0</v>
      </c>
      <c r="J65" s="23" t="n">
        <f aca="false">'Base Despesas'!H6</f>
        <v>0</v>
      </c>
    </row>
    <row r="66" customFormat="false" ht="15" hidden="false" customHeight="false" outlineLevel="0" collapsed="false">
      <c r="A66" s="23" t="s">
        <v>17</v>
      </c>
      <c r="B66" s="23" t="str">
        <f aca="false">'Base Despesas'!A7</f>
        <v>Fevereiro</v>
      </c>
      <c r="C66" s="23" t="str">
        <f aca="false">'Base Despesas'!B7</f>
        <v>Salários e Benefícios</v>
      </c>
      <c r="D66" s="23" t="str">
        <f aca="false">'Base Despesas'!C7</f>
        <v>VT Eduardo</v>
      </c>
      <c r="E66" s="24" t="n">
        <f aca="false">'Base Despesas'!D7</f>
        <v>457.6</v>
      </c>
      <c r="F66" s="23" t="n">
        <f aca="false">'Base Despesas'!F7</f>
        <v>0</v>
      </c>
      <c r="G66" s="23" t="n">
        <f aca="false">'Base Despesas'!G7</f>
        <v>0</v>
      </c>
      <c r="H66" s="23" t="n">
        <f aca="false">'Base Despesas'!E7</f>
        <v>0</v>
      </c>
      <c r="I66" s="23" t="n">
        <f aca="false">'Base Despesas'!I7</f>
        <v>0</v>
      </c>
      <c r="J66" s="23" t="n">
        <f aca="false">'Base Despesas'!H7</f>
        <v>0</v>
      </c>
    </row>
    <row r="67" customFormat="false" ht="15" hidden="false" customHeight="false" outlineLevel="0" collapsed="false">
      <c r="A67" s="23" t="s">
        <v>17</v>
      </c>
      <c r="B67" s="23" t="str">
        <f aca="false">'Base Despesas'!A8</f>
        <v>Janeiro</v>
      </c>
      <c r="C67" s="23" t="str">
        <f aca="false">'Base Despesas'!B8</f>
        <v>Salários e Benefícios</v>
      </c>
      <c r="D67" s="23" t="str">
        <f aca="false">'Base Despesas'!C8</f>
        <v>Estagiária de Marketing - Thais</v>
      </c>
      <c r="E67" s="24" t="n">
        <f aca="false">'Base Despesas'!D8</f>
        <v>1834</v>
      </c>
      <c r="F67" s="23" t="str">
        <f aca="false">'Base Despesas'!F8</f>
        <v>Pix</v>
      </c>
      <c r="G67" s="23" t="str">
        <f aca="false">'Base Despesas'!G8</f>
        <v>PAGO</v>
      </c>
      <c r="H67" s="23" t="n">
        <f aca="false">'Base Despesas'!E8</f>
        <v>23</v>
      </c>
      <c r="I67" s="23" t="n">
        <f aca="false">'Base Despesas'!I8</f>
        <v>0</v>
      </c>
      <c r="J67" s="23" t="n">
        <f aca="false">'Base Despesas'!H8</f>
        <v>0</v>
      </c>
    </row>
    <row r="68" customFormat="false" ht="15" hidden="false" customHeight="false" outlineLevel="0" collapsed="false">
      <c r="A68" s="23" t="s">
        <v>17</v>
      </c>
      <c r="B68" s="23" t="str">
        <f aca="false">'Base Despesas'!A9</f>
        <v>Fevereiro</v>
      </c>
      <c r="C68" s="23" t="str">
        <f aca="false">'Base Despesas'!B9</f>
        <v>Salários e Benefícios</v>
      </c>
      <c r="D68" s="23" t="str">
        <f aca="false">'Base Despesas'!C9</f>
        <v>Estagiária de Marketing - Thais</v>
      </c>
      <c r="E68" s="24" t="n">
        <f aca="false">'Base Despesas'!D9</f>
        <v>1834</v>
      </c>
      <c r="F68" s="23" t="n">
        <f aca="false">'Base Despesas'!F9</f>
        <v>0</v>
      </c>
      <c r="G68" s="23" t="str">
        <f aca="false">'Base Despesas'!G9</f>
        <v>PAGO</v>
      </c>
      <c r="H68" s="23" t="n">
        <f aca="false">'Base Despesas'!E9</f>
        <v>23</v>
      </c>
      <c r="I68" s="23" t="n">
        <f aca="false">'Base Despesas'!I9</f>
        <v>0</v>
      </c>
      <c r="J68" s="23" t="n">
        <f aca="false">'Base Despesas'!H9</f>
        <v>0</v>
      </c>
    </row>
    <row r="69" customFormat="false" ht="15" hidden="false" customHeight="false" outlineLevel="0" collapsed="false">
      <c r="A69" s="23" t="s">
        <v>17</v>
      </c>
      <c r="B69" s="23" t="str">
        <f aca="false">'Base Despesas'!A10</f>
        <v>Março</v>
      </c>
      <c r="C69" s="23" t="str">
        <f aca="false">'Base Despesas'!B10</f>
        <v>Salários e Benefícios</v>
      </c>
      <c r="D69" s="23" t="str">
        <f aca="false">'Base Despesas'!C10</f>
        <v>Estagiária de Marketing - Thais</v>
      </c>
      <c r="E69" s="24" t="n">
        <f aca="false">'Base Despesas'!D10</f>
        <v>1834</v>
      </c>
      <c r="F69" s="23" t="n">
        <f aca="false">'Base Despesas'!F10</f>
        <v>0</v>
      </c>
      <c r="G69" s="23" t="n">
        <f aca="false">'Base Despesas'!G10</f>
        <v>0</v>
      </c>
      <c r="H69" s="23" t="n">
        <f aca="false">'Base Despesas'!E10</f>
        <v>23</v>
      </c>
      <c r="I69" s="23" t="n">
        <f aca="false">'Base Despesas'!I10</f>
        <v>0</v>
      </c>
      <c r="J69" s="23" t="n">
        <f aca="false">'Base Despesas'!H10</f>
        <v>0</v>
      </c>
    </row>
    <row r="70" customFormat="false" ht="15" hidden="false" customHeight="false" outlineLevel="0" collapsed="false">
      <c r="A70" s="23" t="s">
        <v>17</v>
      </c>
      <c r="B70" s="23" t="str">
        <f aca="false">'Base Despesas'!A11</f>
        <v>Abril</v>
      </c>
      <c r="C70" s="23" t="str">
        <f aca="false">'Base Despesas'!B11</f>
        <v>Salários e Benefícios</v>
      </c>
      <c r="D70" s="23" t="str">
        <f aca="false">'Base Despesas'!C11</f>
        <v>Estagiária de Marketing - Thais</v>
      </c>
      <c r="E70" s="24" t="n">
        <f aca="false">'Base Despesas'!D11</f>
        <v>1834</v>
      </c>
      <c r="F70" s="23" t="n">
        <f aca="false">'Base Despesas'!F11</f>
        <v>0</v>
      </c>
      <c r="G70" s="23" t="n">
        <f aca="false">'Base Despesas'!G11</f>
        <v>0</v>
      </c>
      <c r="H70" s="23" t="n">
        <f aca="false">'Base Despesas'!E11</f>
        <v>23</v>
      </c>
      <c r="I70" s="23" t="n">
        <f aca="false">'Base Despesas'!I11</f>
        <v>0</v>
      </c>
      <c r="J70" s="23" t="n">
        <f aca="false">'Base Despesas'!H11</f>
        <v>0</v>
      </c>
    </row>
    <row r="71" customFormat="false" ht="15" hidden="false" customHeight="false" outlineLevel="0" collapsed="false">
      <c r="A71" s="23" t="s">
        <v>17</v>
      </c>
      <c r="B71" s="23" t="str">
        <f aca="false">'Base Despesas'!A12</f>
        <v>Maio</v>
      </c>
      <c r="C71" s="23" t="str">
        <f aca="false">'Base Despesas'!B12</f>
        <v>Salários e Benefícios</v>
      </c>
      <c r="D71" s="23" t="str">
        <f aca="false">'Base Despesas'!C12</f>
        <v>Estagiária de Marketing - Thais</v>
      </c>
      <c r="E71" s="24" t="n">
        <f aca="false">'Base Despesas'!D12</f>
        <v>1834</v>
      </c>
      <c r="F71" s="23" t="n">
        <f aca="false">'Base Despesas'!F12</f>
        <v>0</v>
      </c>
      <c r="G71" s="23" t="n">
        <f aca="false">'Base Despesas'!G12</f>
        <v>0</v>
      </c>
      <c r="H71" s="23" t="n">
        <f aca="false">'Base Despesas'!E12</f>
        <v>23</v>
      </c>
      <c r="I71" s="23" t="n">
        <f aca="false">'Base Despesas'!I12</f>
        <v>0</v>
      </c>
      <c r="J71" s="23" t="n">
        <f aca="false">'Base Despesas'!H12</f>
        <v>0</v>
      </c>
    </row>
    <row r="72" customFormat="false" ht="15" hidden="false" customHeight="false" outlineLevel="0" collapsed="false">
      <c r="A72" s="23" t="s">
        <v>17</v>
      </c>
      <c r="B72" s="23" t="str">
        <f aca="false">'Base Despesas'!A13</f>
        <v>Janeiro</v>
      </c>
      <c r="C72" s="23" t="str">
        <f aca="false">'Base Despesas'!B13</f>
        <v>Salários e Benefícios</v>
      </c>
      <c r="D72" s="23" t="str">
        <f aca="false">'Base Despesas'!C13</f>
        <v>Designer Pleno - Welesson</v>
      </c>
      <c r="E72" s="24" t="n">
        <f aca="false">'Base Despesas'!D13</f>
        <v>2500</v>
      </c>
      <c r="F72" s="23" t="str">
        <f aca="false">'Base Despesas'!F13</f>
        <v>Pix</v>
      </c>
      <c r="G72" s="23" t="str">
        <f aca="false">'Base Despesas'!G13</f>
        <v>PAGO</v>
      </c>
      <c r="H72" s="23" t="n">
        <f aca="false">'Base Despesas'!E13</f>
        <v>20</v>
      </c>
      <c r="I72" s="23" t="n">
        <f aca="false">'Base Despesas'!I13</f>
        <v>0</v>
      </c>
      <c r="J72" s="23" t="n">
        <f aca="false">'Base Despesas'!H13</f>
        <v>0</v>
      </c>
    </row>
    <row r="73" customFormat="false" ht="15" hidden="false" customHeight="false" outlineLevel="0" collapsed="false">
      <c r="A73" s="23" t="s">
        <v>17</v>
      </c>
      <c r="B73" s="23" t="str">
        <f aca="false">'Base Despesas'!A14</f>
        <v>Fevereiro</v>
      </c>
      <c r="C73" s="23" t="str">
        <f aca="false">'Base Despesas'!B14</f>
        <v>Salários e Benefícios</v>
      </c>
      <c r="D73" s="23" t="str">
        <f aca="false">'Base Despesas'!C14</f>
        <v>Designer Pleno - Welesson</v>
      </c>
      <c r="E73" s="24" t="n">
        <f aca="false">'Base Despesas'!D14</f>
        <v>2500</v>
      </c>
      <c r="F73" s="23" t="n">
        <f aca="false">'Base Despesas'!F14</f>
        <v>0</v>
      </c>
      <c r="G73" s="23" t="str">
        <f aca="false">'Base Despesas'!G14</f>
        <v>PAGO</v>
      </c>
      <c r="H73" s="23" t="n">
        <f aca="false">'Base Despesas'!E14</f>
        <v>20</v>
      </c>
      <c r="I73" s="23" t="n">
        <f aca="false">'Base Despesas'!I14</f>
        <v>0</v>
      </c>
      <c r="J73" s="23" t="n">
        <f aca="false">'Base Despesas'!H14</f>
        <v>0</v>
      </c>
    </row>
    <row r="74" customFormat="false" ht="15" hidden="false" customHeight="false" outlineLevel="0" collapsed="false">
      <c r="A74" s="23" t="s">
        <v>17</v>
      </c>
      <c r="B74" s="23" t="str">
        <f aca="false">'Base Despesas'!A15</f>
        <v>Março</v>
      </c>
      <c r="C74" s="23" t="str">
        <f aca="false">'Base Despesas'!B15</f>
        <v>Salários e Benefícios</v>
      </c>
      <c r="D74" s="23" t="str">
        <f aca="false">'Base Despesas'!C15</f>
        <v>Designer Pleno - Welesson</v>
      </c>
      <c r="E74" s="24" t="n">
        <f aca="false">'Base Despesas'!D15</f>
        <v>2500</v>
      </c>
      <c r="F74" s="23" t="n">
        <f aca="false">'Base Despesas'!F15</f>
        <v>0</v>
      </c>
      <c r="G74" s="23" t="n">
        <f aca="false">'Base Despesas'!G15</f>
        <v>0</v>
      </c>
      <c r="H74" s="23" t="n">
        <f aca="false">'Base Despesas'!E15</f>
        <v>20</v>
      </c>
      <c r="I74" s="23" t="n">
        <f aca="false">'Base Despesas'!I15</f>
        <v>0</v>
      </c>
      <c r="J74" s="23" t="n">
        <f aca="false">'Base Despesas'!H15</f>
        <v>0</v>
      </c>
    </row>
    <row r="75" customFormat="false" ht="15" hidden="false" customHeight="false" outlineLevel="0" collapsed="false">
      <c r="A75" s="23" t="s">
        <v>17</v>
      </c>
      <c r="B75" s="23" t="str">
        <f aca="false">'Base Despesas'!A16</f>
        <v>Abril</v>
      </c>
      <c r="C75" s="23" t="str">
        <f aca="false">'Base Despesas'!B16</f>
        <v>Salários e Benefícios</v>
      </c>
      <c r="D75" s="23" t="str">
        <f aca="false">'Base Despesas'!C16</f>
        <v>Designer Pleno - Welesson</v>
      </c>
      <c r="E75" s="24" t="n">
        <f aca="false">'Base Despesas'!D16</f>
        <v>2500</v>
      </c>
      <c r="F75" s="23" t="n">
        <f aca="false">'Base Despesas'!F16</f>
        <v>0</v>
      </c>
      <c r="G75" s="23" t="n">
        <f aca="false">'Base Despesas'!G16</f>
        <v>0</v>
      </c>
      <c r="H75" s="23" t="n">
        <f aca="false">'Base Despesas'!E16</f>
        <v>20</v>
      </c>
      <c r="I75" s="23" t="n">
        <f aca="false">'Base Despesas'!I16</f>
        <v>0</v>
      </c>
      <c r="J75" s="23" t="n">
        <f aca="false">'Base Despesas'!H16</f>
        <v>0</v>
      </c>
    </row>
    <row r="76" customFormat="false" ht="15" hidden="false" customHeight="false" outlineLevel="0" collapsed="false">
      <c r="A76" s="23" t="s">
        <v>17</v>
      </c>
      <c r="B76" s="23" t="str">
        <f aca="false">'Base Despesas'!A17</f>
        <v>Maio</v>
      </c>
      <c r="C76" s="23" t="str">
        <f aca="false">'Base Despesas'!B17</f>
        <v>Salários e Benefícios</v>
      </c>
      <c r="D76" s="23" t="str">
        <f aca="false">'Base Despesas'!C17</f>
        <v>Designer Pleno - Welesson</v>
      </c>
      <c r="E76" s="24" t="n">
        <f aca="false">'Base Despesas'!D17</f>
        <v>2500</v>
      </c>
      <c r="F76" s="23" t="n">
        <f aca="false">'Base Despesas'!F17</f>
        <v>0</v>
      </c>
      <c r="G76" s="23" t="n">
        <f aca="false">'Base Despesas'!G17</f>
        <v>0</v>
      </c>
      <c r="H76" s="23" t="n">
        <f aca="false">'Base Despesas'!E17</f>
        <v>20</v>
      </c>
      <c r="I76" s="23" t="n">
        <f aca="false">'Base Despesas'!I17</f>
        <v>0</v>
      </c>
      <c r="J76" s="23" t="n">
        <f aca="false">'Base Despesas'!H17</f>
        <v>0</v>
      </c>
    </row>
    <row r="77" customFormat="false" ht="15" hidden="false" customHeight="false" outlineLevel="0" collapsed="false">
      <c r="A77" s="23" t="s">
        <v>17</v>
      </c>
      <c r="B77" s="23" t="str">
        <f aca="false">'Base Despesas'!A18</f>
        <v>Janeiro</v>
      </c>
      <c r="C77" s="23" t="str">
        <f aca="false">'Base Despesas'!B18</f>
        <v>Salários e Benefícios</v>
      </c>
      <c r="D77" s="23" t="str">
        <f aca="false">'Base Despesas'!C18</f>
        <v>Designer Junior - Mateus</v>
      </c>
      <c r="E77" s="24" t="n">
        <f aca="false">'Base Despesas'!D18</f>
        <v>2500</v>
      </c>
      <c r="F77" s="23" t="str">
        <f aca="false">'Base Despesas'!F18</f>
        <v>Pix</v>
      </c>
      <c r="G77" s="23" t="str">
        <f aca="false">'Base Despesas'!G18</f>
        <v>PAGO</v>
      </c>
      <c r="H77" s="23" t="n">
        <f aca="false">'Base Despesas'!E18</f>
        <v>13</v>
      </c>
      <c r="I77" s="23" t="n">
        <f aca="false">'Base Despesas'!I18</f>
        <v>0</v>
      </c>
      <c r="J77" s="23" t="n">
        <f aca="false">'Base Despesas'!H18</f>
        <v>0</v>
      </c>
    </row>
    <row r="78" customFormat="false" ht="15" hidden="false" customHeight="false" outlineLevel="0" collapsed="false">
      <c r="A78" s="23" t="s">
        <v>17</v>
      </c>
      <c r="B78" s="23" t="str">
        <f aca="false">'Base Despesas'!A19</f>
        <v>Fevereiro</v>
      </c>
      <c r="C78" s="23" t="str">
        <f aca="false">'Base Despesas'!B19</f>
        <v>Salários e Benefícios</v>
      </c>
      <c r="D78" s="23" t="str">
        <f aca="false">'Base Despesas'!C19</f>
        <v>Designer Junior - Mateus</v>
      </c>
      <c r="E78" s="24" t="n">
        <f aca="false">'Base Despesas'!D19</f>
        <v>2500</v>
      </c>
      <c r="F78" s="23" t="n">
        <f aca="false">'Base Despesas'!F19</f>
        <v>0</v>
      </c>
      <c r="G78" s="23" t="str">
        <f aca="false">'Base Despesas'!G19</f>
        <v>PAGO</v>
      </c>
      <c r="H78" s="23" t="n">
        <f aca="false">'Base Despesas'!E19</f>
        <v>13</v>
      </c>
      <c r="I78" s="23" t="n">
        <f aca="false">'Base Despesas'!I19</f>
        <v>0</v>
      </c>
      <c r="J78" s="23" t="n">
        <f aca="false">'Base Despesas'!H19</f>
        <v>0</v>
      </c>
    </row>
    <row r="79" customFormat="false" ht="15" hidden="false" customHeight="false" outlineLevel="0" collapsed="false">
      <c r="A79" s="23" t="s">
        <v>17</v>
      </c>
      <c r="B79" s="23" t="str">
        <f aca="false">'Base Despesas'!A20</f>
        <v>Março</v>
      </c>
      <c r="C79" s="23" t="str">
        <f aca="false">'Base Despesas'!B20</f>
        <v>Salários e Benefícios</v>
      </c>
      <c r="D79" s="23" t="str">
        <f aca="false">'Base Despesas'!C20</f>
        <v>Designer Junior - Mateus</v>
      </c>
      <c r="E79" s="24" t="n">
        <f aca="false">'Base Despesas'!D20</f>
        <v>2500</v>
      </c>
      <c r="F79" s="23" t="n">
        <f aca="false">'Base Despesas'!F20</f>
        <v>0</v>
      </c>
      <c r="G79" s="23" t="n">
        <f aca="false">'Base Despesas'!G20</f>
        <v>0</v>
      </c>
      <c r="H79" s="23" t="n">
        <f aca="false">'Base Despesas'!E20</f>
        <v>13</v>
      </c>
      <c r="I79" s="23" t="n">
        <f aca="false">'Base Despesas'!I20</f>
        <v>0</v>
      </c>
      <c r="J79" s="23" t="n">
        <f aca="false">'Base Despesas'!H20</f>
        <v>0</v>
      </c>
    </row>
    <row r="80" customFormat="false" ht="15" hidden="false" customHeight="false" outlineLevel="0" collapsed="false">
      <c r="A80" s="23" t="s">
        <v>17</v>
      </c>
      <c r="B80" s="23" t="str">
        <f aca="false">'Base Despesas'!A21</f>
        <v>Abril</v>
      </c>
      <c r="C80" s="23" t="str">
        <f aca="false">'Base Despesas'!B21</f>
        <v>Salários e Benefícios</v>
      </c>
      <c r="D80" s="23" t="str">
        <f aca="false">'Base Despesas'!C21</f>
        <v>Designer Junior - Mateus</v>
      </c>
      <c r="E80" s="24" t="n">
        <f aca="false">'Base Despesas'!D21</f>
        <v>2500</v>
      </c>
      <c r="F80" s="23" t="n">
        <f aca="false">'Base Despesas'!F21</f>
        <v>0</v>
      </c>
      <c r="G80" s="23" t="n">
        <f aca="false">'Base Despesas'!G21</f>
        <v>0</v>
      </c>
      <c r="H80" s="23" t="n">
        <f aca="false">'Base Despesas'!E21</f>
        <v>13</v>
      </c>
      <c r="I80" s="23" t="n">
        <f aca="false">'Base Despesas'!I21</f>
        <v>0</v>
      </c>
      <c r="J80" s="23" t="n">
        <f aca="false">'Base Despesas'!H21</f>
        <v>0</v>
      </c>
    </row>
    <row r="81" customFormat="false" ht="15" hidden="false" customHeight="false" outlineLevel="0" collapsed="false">
      <c r="A81" s="23" t="s">
        <v>17</v>
      </c>
      <c r="B81" s="23" t="str">
        <f aca="false">'Base Despesas'!A22</f>
        <v>Maio</v>
      </c>
      <c r="C81" s="23" t="str">
        <f aca="false">'Base Despesas'!B22</f>
        <v>Salários e Benefícios</v>
      </c>
      <c r="D81" s="23" t="str">
        <f aca="false">'Base Despesas'!C22</f>
        <v>Designer Junior - Mateus</v>
      </c>
      <c r="E81" s="24" t="n">
        <f aca="false">'Base Despesas'!D22</f>
        <v>2500</v>
      </c>
      <c r="F81" s="23" t="n">
        <f aca="false">'Base Despesas'!F22</f>
        <v>0</v>
      </c>
      <c r="G81" s="23" t="n">
        <f aca="false">'Base Despesas'!G22</f>
        <v>0</v>
      </c>
      <c r="H81" s="23" t="n">
        <f aca="false">'Base Despesas'!E22</f>
        <v>13</v>
      </c>
      <c r="I81" s="23" t="n">
        <f aca="false">'Base Despesas'!I22</f>
        <v>0</v>
      </c>
      <c r="J81" s="23" t="n">
        <f aca="false">'Base Despesas'!H22</f>
        <v>0</v>
      </c>
    </row>
    <row r="82" customFormat="false" ht="15" hidden="false" customHeight="false" outlineLevel="0" collapsed="false">
      <c r="A82" s="23" t="s">
        <v>17</v>
      </c>
      <c r="B82" s="23" t="str">
        <f aca="false">'Base Despesas'!A23</f>
        <v>Janeiro</v>
      </c>
      <c r="C82" s="23" t="str">
        <f aca="false">'Base Despesas'!B23</f>
        <v>Salários e Benefícios</v>
      </c>
      <c r="D82" s="23" t="str">
        <f aca="false">'Base Despesas'!C23</f>
        <v>Programador - Luan</v>
      </c>
      <c r="E82" s="24" t="n">
        <f aca="false">'Base Despesas'!D23</f>
        <v>2280.9</v>
      </c>
      <c r="F82" s="23" t="str">
        <f aca="false">'Base Despesas'!F23</f>
        <v>Pix</v>
      </c>
      <c r="G82" s="23" t="str">
        <f aca="false">'Base Despesas'!G23</f>
        <v>PAGO</v>
      </c>
      <c r="H82" s="23" t="n">
        <f aca="false">'Base Despesas'!E23</f>
        <v>25</v>
      </c>
      <c r="I82" s="23" t="n">
        <f aca="false">'Base Despesas'!I23</f>
        <v>0</v>
      </c>
      <c r="J82" s="23" t="n">
        <f aca="false">'Base Despesas'!H23</f>
        <v>0</v>
      </c>
    </row>
    <row r="83" customFormat="false" ht="15" hidden="false" customHeight="false" outlineLevel="0" collapsed="false">
      <c r="A83" s="23" t="s">
        <v>17</v>
      </c>
      <c r="B83" s="23" t="str">
        <f aca="false">'Base Despesas'!A24</f>
        <v>Fevereiro</v>
      </c>
      <c r="C83" s="23" t="str">
        <f aca="false">'Base Despesas'!B24</f>
        <v>Salários e Benefícios</v>
      </c>
      <c r="D83" s="23" t="str">
        <f aca="false">'Base Despesas'!C24</f>
        <v>Programador - Luan</v>
      </c>
      <c r="E83" s="24" t="n">
        <f aca="false">'Base Despesas'!D24</f>
        <v>2280.9</v>
      </c>
      <c r="F83" s="23" t="n">
        <f aca="false">'Base Despesas'!F24</f>
        <v>0</v>
      </c>
      <c r="G83" s="23" t="n">
        <f aca="false">'Base Despesas'!G24</f>
        <v>0</v>
      </c>
      <c r="H83" s="23" t="n">
        <f aca="false">'Base Despesas'!E24</f>
        <v>25</v>
      </c>
      <c r="I83" s="23" t="n">
        <f aca="false">'Base Despesas'!I24</f>
        <v>0</v>
      </c>
      <c r="J83" s="23" t="n">
        <f aca="false">'Base Despesas'!H24</f>
        <v>0</v>
      </c>
    </row>
    <row r="84" customFormat="false" ht="15" hidden="false" customHeight="false" outlineLevel="0" collapsed="false">
      <c r="A84" s="23" t="s">
        <v>17</v>
      </c>
      <c r="B84" s="23" t="str">
        <f aca="false">'Base Despesas'!A25</f>
        <v>Março</v>
      </c>
      <c r="C84" s="23" t="str">
        <f aca="false">'Base Despesas'!B25</f>
        <v>Salários e Benefícios</v>
      </c>
      <c r="D84" s="23" t="str">
        <f aca="false">'Base Despesas'!C25</f>
        <v>Programador - Luan</v>
      </c>
      <c r="E84" s="24" t="n">
        <f aca="false">'Base Despesas'!D25</f>
        <v>2280.9</v>
      </c>
      <c r="F84" s="23" t="n">
        <f aca="false">'Base Despesas'!F25</f>
        <v>0</v>
      </c>
      <c r="G84" s="23" t="n">
        <f aca="false">'Base Despesas'!G25</f>
        <v>0</v>
      </c>
      <c r="H84" s="23" t="n">
        <f aca="false">'Base Despesas'!E25</f>
        <v>25</v>
      </c>
      <c r="I84" s="23" t="n">
        <f aca="false">'Base Despesas'!I25</f>
        <v>0</v>
      </c>
      <c r="J84" s="23" t="n">
        <f aca="false">'Base Despesas'!H25</f>
        <v>0</v>
      </c>
    </row>
    <row r="85" customFormat="false" ht="15" hidden="false" customHeight="false" outlineLevel="0" collapsed="false">
      <c r="A85" s="23" t="s">
        <v>17</v>
      </c>
      <c r="B85" s="23" t="str">
        <f aca="false">'Base Despesas'!A26</f>
        <v>Abril</v>
      </c>
      <c r="C85" s="23" t="str">
        <f aca="false">'Base Despesas'!B26</f>
        <v>Salários e Benefícios</v>
      </c>
      <c r="D85" s="23" t="str">
        <f aca="false">'Base Despesas'!C26</f>
        <v>Programador - Luan</v>
      </c>
      <c r="E85" s="24" t="n">
        <f aca="false">'Base Despesas'!D26</f>
        <v>2280.9</v>
      </c>
      <c r="F85" s="23" t="n">
        <f aca="false">'Base Despesas'!F26</f>
        <v>0</v>
      </c>
      <c r="G85" s="23" t="n">
        <f aca="false">'Base Despesas'!G26</f>
        <v>0</v>
      </c>
      <c r="H85" s="23" t="n">
        <f aca="false">'Base Despesas'!E26</f>
        <v>25</v>
      </c>
      <c r="I85" s="23" t="n">
        <f aca="false">'Base Despesas'!I26</f>
        <v>0</v>
      </c>
      <c r="J85" s="23" t="n">
        <f aca="false">'Base Despesas'!H26</f>
        <v>0</v>
      </c>
    </row>
    <row r="86" customFormat="false" ht="15" hidden="false" customHeight="false" outlineLevel="0" collapsed="false">
      <c r="A86" s="23" t="s">
        <v>17</v>
      </c>
      <c r="B86" s="23" t="str">
        <f aca="false">'Base Despesas'!A27</f>
        <v>Maio</v>
      </c>
      <c r="C86" s="23" t="str">
        <f aca="false">'Base Despesas'!B27</f>
        <v>Salários e Benefícios</v>
      </c>
      <c r="D86" s="23" t="str">
        <f aca="false">'Base Despesas'!C27</f>
        <v>Programador - Luan</v>
      </c>
      <c r="E86" s="24" t="n">
        <f aca="false">'Base Despesas'!D27</f>
        <v>2280.9</v>
      </c>
      <c r="F86" s="23" t="n">
        <f aca="false">'Base Despesas'!F27</f>
        <v>0</v>
      </c>
      <c r="G86" s="23" t="n">
        <f aca="false">'Base Despesas'!G27</f>
        <v>0</v>
      </c>
      <c r="H86" s="23" t="n">
        <f aca="false">'Base Despesas'!E27</f>
        <v>25</v>
      </c>
      <c r="I86" s="23" t="n">
        <f aca="false">'Base Despesas'!I27</f>
        <v>0</v>
      </c>
      <c r="J86" s="23" t="n">
        <f aca="false">'Base Despesas'!H27</f>
        <v>0</v>
      </c>
    </row>
    <row r="87" customFormat="false" ht="15" hidden="false" customHeight="false" outlineLevel="0" collapsed="false">
      <c r="A87" s="23" t="s">
        <v>17</v>
      </c>
      <c r="B87" s="23" t="str">
        <f aca="false">'Base Despesas'!A28</f>
        <v>Janeiro</v>
      </c>
      <c r="C87" s="23" t="str">
        <f aca="false">'Base Despesas'!B28</f>
        <v>Salários e Benefícios</v>
      </c>
      <c r="D87" s="23" t="str">
        <f aca="false">'Base Despesas'!C28</f>
        <v>Vendedor - Patrik</v>
      </c>
      <c r="E87" s="24" t="n">
        <f aca="false">'Base Despesas'!D28</f>
        <v>1500</v>
      </c>
      <c r="F87" s="23" t="str">
        <f aca="false">'Base Despesas'!F28</f>
        <v>Pix</v>
      </c>
      <c r="G87" s="23" t="str">
        <f aca="false">'Base Despesas'!G28</f>
        <v>PAGO</v>
      </c>
      <c r="H87" s="23" t="n">
        <f aca="false">'Base Despesas'!E28</f>
        <v>25</v>
      </c>
      <c r="I87" s="23" t="n">
        <f aca="false">'Base Despesas'!I28</f>
        <v>0</v>
      </c>
      <c r="J87" s="23" t="n">
        <f aca="false">'Base Despesas'!H28</f>
        <v>0</v>
      </c>
    </row>
    <row r="88" customFormat="false" ht="15" hidden="false" customHeight="false" outlineLevel="0" collapsed="false">
      <c r="A88" s="23" t="s">
        <v>17</v>
      </c>
      <c r="B88" s="23" t="str">
        <f aca="false">'Base Despesas'!A29</f>
        <v>Fevereiro</v>
      </c>
      <c r="C88" s="23" t="str">
        <f aca="false">'Base Despesas'!B29</f>
        <v>Salários e Benefícios</v>
      </c>
      <c r="D88" s="23" t="str">
        <f aca="false">'Base Despesas'!C29</f>
        <v>Vendedor - Patrik</v>
      </c>
      <c r="E88" s="24" t="n">
        <f aca="false">'Base Despesas'!D29</f>
        <v>1500</v>
      </c>
      <c r="F88" s="23" t="n">
        <f aca="false">'Base Despesas'!F29</f>
        <v>0</v>
      </c>
      <c r="G88" s="23" t="str">
        <f aca="false">'Base Despesas'!G29</f>
        <v>PAGO</v>
      </c>
      <c r="H88" s="23" t="n">
        <f aca="false">'Base Despesas'!E29</f>
        <v>25</v>
      </c>
      <c r="I88" s="23" t="n">
        <f aca="false">'Base Despesas'!I29</f>
        <v>0</v>
      </c>
      <c r="J88" s="23" t="n">
        <f aca="false">'Base Despesas'!H29</f>
        <v>0</v>
      </c>
    </row>
    <row r="89" customFormat="false" ht="15" hidden="false" customHeight="false" outlineLevel="0" collapsed="false">
      <c r="A89" s="23" t="s">
        <v>17</v>
      </c>
      <c r="B89" s="23" t="str">
        <f aca="false">'Base Despesas'!A30</f>
        <v>Março</v>
      </c>
      <c r="C89" s="23" t="str">
        <f aca="false">'Base Despesas'!B30</f>
        <v>Salários e Benefícios</v>
      </c>
      <c r="D89" s="23" t="str">
        <f aca="false">'Base Despesas'!C30</f>
        <v>Vendedor - Patrik</v>
      </c>
      <c r="E89" s="24" t="n">
        <f aca="false">'Base Despesas'!D30</f>
        <v>2000</v>
      </c>
      <c r="F89" s="23" t="n">
        <f aca="false">'Base Despesas'!F30</f>
        <v>0</v>
      </c>
      <c r="G89" s="23" t="n">
        <f aca="false">'Base Despesas'!G30</f>
        <v>0</v>
      </c>
      <c r="H89" s="23" t="n">
        <f aca="false">'Base Despesas'!E30</f>
        <v>25</v>
      </c>
      <c r="I89" s="23" t="n">
        <f aca="false">'Base Despesas'!I30</f>
        <v>0</v>
      </c>
      <c r="J89" s="23" t="n">
        <f aca="false">'Base Despesas'!H30</f>
        <v>0</v>
      </c>
    </row>
    <row r="90" customFormat="false" ht="15" hidden="false" customHeight="false" outlineLevel="0" collapsed="false">
      <c r="A90" s="23" t="s">
        <v>17</v>
      </c>
      <c r="B90" s="23" t="str">
        <f aca="false">'Base Despesas'!A31</f>
        <v>Abril</v>
      </c>
      <c r="C90" s="23" t="str">
        <f aca="false">'Base Despesas'!B31</f>
        <v>Salários e Benefícios</v>
      </c>
      <c r="D90" s="23" t="str">
        <f aca="false">'Base Despesas'!C31</f>
        <v>Vendedor - Patrik</v>
      </c>
      <c r="E90" s="24" t="n">
        <f aca="false">'Base Despesas'!D31</f>
        <v>1500</v>
      </c>
      <c r="F90" s="23" t="n">
        <f aca="false">'Base Despesas'!F31</f>
        <v>0</v>
      </c>
      <c r="G90" s="23" t="n">
        <f aca="false">'Base Despesas'!G31</f>
        <v>0</v>
      </c>
      <c r="H90" s="23" t="n">
        <f aca="false">'Base Despesas'!E31</f>
        <v>25</v>
      </c>
      <c r="I90" s="23" t="n">
        <f aca="false">'Base Despesas'!I31</f>
        <v>0</v>
      </c>
      <c r="J90" s="23" t="n">
        <f aca="false">'Base Despesas'!H31</f>
        <v>0</v>
      </c>
    </row>
    <row r="91" customFormat="false" ht="15" hidden="false" customHeight="false" outlineLevel="0" collapsed="false">
      <c r="A91" s="23" t="s">
        <v>17</v>
      </c>
      <c r="B91" s="23" t="str">
        <f aca="false">'Base Despesas'!A32</f>
        <v>Maio</v>
      </c>
      <c r="C91" s="23" t="str">
        <f aca="false">'Base Despesas'!B32</f>
        <v>Salários e Benefícios</v>
      </c>
      <c r="D91" s="23" t="str">
        <f aca="false">'Base Despesas'!C32</f>
        <v>Vendedor - Patrik</v>
      </c>
      <c r="E91" s="24" t="n">
        <f aca="false">'Base Despesas'!D32</f>
        <v>1500</v>
      </c>
      <c r="F91" s="23" t="n">
        <f aca="false">'Base Despesas'!F32</f>
        <v>0</v>
      </c>
      <c r="G91" s="23" t="n">
        <f aca="false">'Base Despesas'!G32</f>
        <v>0</v>
      </c>
      <c r="H91" s="23" t="n">
        <f aca="false">'Base Despesas'!E32</f>
        <v>25</v>
      </c>
      <c r="I91" s="23" t="n">
        <f aca="false">'Base Despesas'!I32</f>
        <v>0</v>
      </c>
      <c r="J91" s="23" t="n">
        <f aca="false">'Base Despesas'!H32</f>
        <v>0</v>
      </c>
    </row>
    <row r="92" customFormat="false" ht="15" hidden="false" customHeight="false" outlineLevel="0" collapsed="false">
      <c r="A92" s="23" t="s">
        <v>17</v>
      </c>
      <c r="B92" s="23" t="str">
        <f aca="false">'Base Despesas'!A33</f>
        <v>Janeiro</v>
      </c>
      <c r="C92" s="23" t="str">
        <f aca="false">'Base Despesas'!B33</f>
        <v>Salários e Benefícios</v>
      </c>
      <c r="D92" s="23" t="str">
        <f aca="false">'Base Despesas'!C33</f>
        <v>Gestor - Felipe</v>
      </c>
      <c r="E92" s="24" t="n">
        <f aca="false">'Base Despesas'!D33</f>
        <v>1834</v>
      </c>
      <c r="F92" s="23" t="str">
        <f aca="false">'Base Despesas'!F33</f>
        <v>Pix</v>
      </c>
      <c r="G92" s="23" t="str">
        <f aca="false">'Base Despesas'!G33</f>
        <v>PAGO</v>
      </c>
      <c r="H92" s="23" t="n">
        <f aca="false">'Base Despesas'!E33</f>
        <v>19</v>
      </c>
      <c r="I92" s="23" t="n">
        <f aca="false">'Base Despesas'!I33</f>
        <v>0</v>
      </c>
      <c r="J92" s="23" t="n">
        <f aca="false">'Base Despesas'!H33</f>
        <v>0</v>
      </c>
    </row>
    <row r="93" customFormat="false" ht="15" hidden="false" customHeight="false" outlineLevel="0" collapsed="false">
      <c r="A93" s="23" t="s">
        <v>17</v>
      </c>
      <c r="B93" s="23" t="str">
        <f aca="false">'Base Despesas'!A34</f>
        <v>Fevereiro</v>
      </c>
      <c r="C93" s="23" t="str">
        <f aca="false">'Base Despesas'!B34</f>
        <v>Salários e Benefícios</v>
      </c>
      <c r="D93" s="23" t="str">
        <f aca="false">'Base Despesas'!C34</f>
        <v>Gestor - Felipe</v>
      </c>
      <c r="E93" s="24" t="n">
        <f aca="false">'Base Despesas'!D34</f>
        <v>1834</v>
      </c>
      <c r="F93" s="23" t="n">
        <f aca="false">'Base Despesas'!F34</f>
        <v>0</v>
      </c>
      <c r="G93" s="23" t="str">
        <f aca="false">'Base Despesas'!G34</f>
        <v>PAGO</v>
      </c>
      <c r="H93" s="23" t="n">
        <f aca="false">'Base Despesas'!E34</f>
        <v>19</v>
      </c>
      <c r="I93" s="23" t="n">
        <f aca="false">'Base Despesas'!I34</f>
        <v>0</v>
      </c>
      <c r="J93" s="23" t="n">
        <f aca="false">'Base Despesas'!H34</f>
        <v>0</v>
      </c>
    </row>
    <row r="94" customFormat="false" ht="15" hidden="false" customHeight="false" outlineLevel="0" collapsed="false">
      <c r="A94" s="23" t="s">
        <v>17</v>
      </c>
      <c r="B94" s="23" t="str">
        <f aca="false">'Base Despesas'!A35</f>
        <v>Março</v>
      </c>
      <c r="C94" s="23" t="str">
        <f aca="false">'Base Despesas'!B35</f>
        <v>Salários e Benefícios</v>
      </c>
      <c r="D94" s="23" t="str">
        <f aca="false">'Base Despesas'!C35</f>
        <v>Gestor - Felipe</v>
      </c>
      <c r="E94" s="24" t="n">
        <f aca="false">'Base Despesas'!D35</f>
        <v>1834</v>
      </c>
      <c r="F94" s="23" t="n">
        <f aca="false">'Base Despesas'!F35</f>
        <v>0</v>
      </c>
      <c r="G94" s="23" t="n">
        <f aca="false">'Base Despesas'!G35</f>
        <v>0</v>
      </c>
      <c r="H94" s="23" t="n">
        <f aca="false">'Base Despesas'!E35</f>
        <v>19</v>
      </c>
      <c r="I94" s="23" t="n">
        <f aca="false">'Base Despesas'!I35</f>
        <v>0</v>
      </c>
      <c r="J94" s="23" t="n">
        <f aca="false">'Base Despesas'!H35</f>
        <v>0</v>
      </c>
    </row>
    <row r="95" customFormat="false" ht="15" hidden="false" customHeight="false" outlineLevel="0" collapsed="false">
      <c r="A95" s="23" t="s">
        <v>17</v>
      </c>
      <c r="B95" s="23" t="str">
        <f aca="false">'Base Despesas'!A36</f>
        <v>Abril</v>
      </c>
      <c r="C95" s="23" t="str">
        <f aca="false">'Base Despesas'!B36</f>
        <v>Salários e Benefícios</v>
      </c>
      <c r="D95" s="23" t="str">
        <f aca="false">'Base Despesas'!C36</f>
        <v>Gestor - Felipe</v>
      </c>
      <c r="E95" s="24" t="n">
        <f aca="false">'Base Despesas'!D36</f>
        <v>1834</v>
      </c>
      <c r="F95" s="23" t="n">
        <f aca="false">'Base Despesas'!F36</f>
        <v>0</v>
      </c>
      <c r="G95" s="23" t="n">
        <f aca="false">'Base Despesas'!G36</f>
        <v>0</v>
      </c>
      <c r="H95" s="23" t="n">
        <f aca="false">'Base Despesas'!E36</f>
        <v>19</v>
      </c>
      <c r="I95" s="23" t="n">
        <f aca="false">'Base Despesas'!I36</f>
        <v>0</v>
      </c>
      <c r="J95" s="23" t="n">
        <f aca="false">'Base Despesas'!H36</f>
        <v>0</v>
      </c>
    </row>
    <row r="96" customFormat="false" ht="15" hidden="false" customHeight="false" outlineLevel="0" collapsed="false">
      <c r="A96" s="23" t="s">
        <v>17</v>
      </c>
      <c r="B96" s="23" t="str">
        <f aca="false">'Base Despesas'!A37</f>
        <v>Maio</v>
      </c>
      <c r="C96" s="23" t="str">
        <f aca="false">'Base Despesas'!B37</f>
        <v>Salários e Benefícios</v>
      </c>
      <c r="D96" s="23" t="str">
        <f aca="false">'Base Despesas'!C37</f>
        <v>Gestor - Felipe</v>
      </c>
      <c r="E96" s="24" t="n">
        <f aca="false">'Base Despesas'!D37</f>
        <v>1834</v>
      </c>
      <c r="F96" s="23" t="n">
        <f aca="false">'Base Despesas'!F37</f>
        <v>0</v>
      </c>
      <c r="G96" s="23" t="n">
        <f aca="false">'Base Despesas'!G37</f>
        <v>0</v>
      </c>
      <c r="H96" s="23" t="n">
        <f aca="false">'Base Despesas'!E37</f>
        <v>19</v>
      </c>
      <c r="I96" s="23" t="n">
        <f aca="false">'Base Despesas'!I37</f>
        <v>0</v>
      </c>
      <c r="J96" s="23" t="n">
        <f aca="false">'Base Despesas'!H37</f>
        <v>0</v>
      </c>
    </row>
    <row r="97" customFormat="false" ht="15" hidden="false" customHeight="false" outlineLevel="0" collapsed="false">
      <c r="A97" s="23" t="s">
        <v>17</v>
      </c>
      <c r="B97" s="23" t="str">
        <f aca="false">'Base Despesas'!A38</f>
        <v>Janeiro</v>
      </c>
      <c r="C97" s="23" t="str">
        <f aca="false">'Base Despesas'!B38</f>
        <v>Salários e Benefícios</v>
      </c>
      <c r="D97" s="23" t="str">
        <f aca="false">'Base Despesas'!C38</f>
        <v>Programador - Ferrari</v>
      </c>
      <c r="E97" s="24" t="n">
        <f aca="false">'Base Despesas'!D38</f>
        <v>1500</v>
      </c>
      <c r="F97" s="23" t="str">
        <f aca="false">'Base Despesas'!F38</f>
        <v>Pix</v>
      </c>
      <c r="G97" s="23" t="str">
        <f aca="false">'Base Despesas'!G38</f>
        <v>PAGO</v>
      </c>
      <c r="H97" s="23" t="n">
        <f aca="false">'Base Despesas'!E38</f>
        <v>20</v>
      </c>
      <c r="I97" s="23" t="n">
        <f aca="false">'Base Despesas'!I38</f>
        <v>0</v>
      </c>
      <c r="J97" s="23" t="n">
        <f aca="false">'Base Despesas'!H38</f>
        <v>0</v>
      </c>
    </row>
    <row r="98" customFormat="false" ht="15" hidden="false" customHeight="false" outlineLevel="0" collapsed="false">
      <c r="A98" s="23" t="s">
        <v>17</v>
      </c>
      <c r="B98" s="23" t="str">
        <f aca="false">'Base Despesas'!A39</f>
        <v>Fevereiro</v>
      </c>
      <c r="C98" s="23" t="str">
        <f aca="false">'Base Despesas'!B39</f>
        <v>Salários e Benefícios</v>
      </c>
      <c r="D98" s="23" t="str">
        <f aca="false">'Base Despesas'!C39</f>
        <v>Programador - Ferrari</v>
      </c>
      <c r="E98" s="24" t="n">
        <f aca="false">'Base Despesas'!D39</f>
        <v>2000</v>
      </c>
      <c r="F98" s="23" t="n">
        <f aca="false">'Base Despesas'!F39</f>
        <v>0</v>
      </c>
      <c r="G98" s="23" t="str">
        <f aca="false">'Base Despesas'!G39</f>
        <v>PAGO</v>
      </c>
      <c r="H98" s="23" t="n">
        <f aca="false">'Base Despesas'!E39</f>
        <v>20</v>
      </c>
      <c r="I98" s="23" t="n">
        <f aca="false">'Base Despesas'!I39</f>
        <v>0</v>
      </c>
      <c r="J98" s="23" t="n">
        <f aca="false">'Base Despesas'!H39</f>
        <v>0</v>
      </c>
    </row>
    <row r="99" customFormat="false" ht="15" hidden="false" customHeight="false" outlineLevel="0" collapsed="false">
      <c r="A99" s="23" t="s">
        <v>17</v>
      </c>
      <c r="B99" s="23" t="str">
        <f aca="false">'Base Despesas'!A40</f>
        <v>Março</v>
      </c>
      <c r="C99" s="23" t="str">
        <f aca="false">'Base Despesas'!B40</f>
        <v>Salários e Benefícios</v>
      </c>
      <c r="D99" s="23" t="str">
        <f aca="false">'Base Despesas'!C40</f>
        <v>Programador - Ferrari</v>
      </c>
      <c r="E99" s="24" t="n">
        <f aca="false">'Base Despesas'!D40</f>
        <v>1500</v>
      </c>
      <c r="F99" s="23" t="n">
        <f aca="false">'Base Despesas'!F40</f>
        <v>0</v>
      </c>
      <c r="G99" s="23" t="n">
        <f aca="false">'Base Despesas'!G40</f>
        <v>0</v>
      </c>
      <c r="H99" s="23" t="n">
        <f aca="false">'Base Despesas'!E40</f>
        <v>20</v>
      </c>
      <c r="I99" s="23" t="n">
        <f aca="false">'Base Despesas'!I40</f>
        <v>0</v>
      </c>
      <c r="J99" s="23" t="n">
        <f aca="false">'Base Despesas'!H40</f>
        <v>0</v>
      </c>
    </row>
    <row r="100" customFormat="false" ht="15" hidden="false" customHeight="false" outlineLevel="0" collapsed="false">
      <c r="A100" s="23" t="s">
        <v>17</v>
      </c>
      <c r="B100" s="23" t="str">
        <f aca="false">'Base Despesas'!A41</f>
        <v>Abril</v>
      </c>
      <c r="C100" s="23" t="str">
        <f aca="false">'Base Despesas'!B41</f>
        <v>Salários e Benefícios</v>
      </c>
      <c r="D100" s="23" t="str">
        <f aca="false">'Base Despesas'!C41</f>
        <v>Programador - Ferrari</v>
      </c>
      <c r="E100" s="24" t="n">
        <f aca="false">'Base Despesas'!D41</f>
        <v>1500</v>
      </c>
      <c r="F100" s="23" t="n">
        <f aca="false">'Base Despesas'!F41</f>
        <v>0</v>
      </c>
      <c r="G100" s="23" t="n">
        <f aca="false">'Base Despesas'!G41</f>
        <v>0</v>
      </c>
      <c r="H100" s="23" t="n">
        <f aca="false">'Base Despesas'!E41</f>
        <v>25</v>
      </c>
      <c r="I100" s="23" t="n">
        <f aca="false">'Base Despesas'!I41</f>
        <v>0</v>
      </c>
      <c r="J100" s="23" t="n">
        <f aca="false">'Base Despesas'!H41</f>
        <v>0</v>
      </c>
    </row>
    <row r="101" customFormat="false" ht="15" hidden="false" customHeight="false" outlineLevel="0" collapsed="false">
      <c r="A101" s="23" t="s">
        <v>17</v>
      </c>
      <c r="B101" s="23" t="str">
        <f aca="false">'Base Despesas'!A42</f>
        <v>Maio</v>
      </c>
      <c r="C101" s="23" t="str">
        <f aca="false">'Base Despesas'!B42</f>
        <v>Salários e Benefícios</v>
      </c>
      <c r="D101" s="23" t="str">
        <f aca="false">'Base Despesas'!C42</f>
        <v>Programador - Ferrari</v>
      </c>
      <c r="E101" s="24" t="n">
        <f aca="false">'Base Despesas'!D42</f>
        <v>1500</v>
      </c>
      <c r="F101" s="23" t="n">
        <f aca="false">'Base Despesas'!F42</f>
        <v>0</v>
      </c>
      <c r="G101" s="23" t="n">
        <f aca="false">'Base Despesas'!G42</f>
        <v>0</v>
      </c>
      <c r="H101" s="23" t="n">
        <f aca="false">'Base Despesas'!E42</f>
        <v>25</v>
      </c>
      <c r="I101" s="23" t="n">
        <f aca="false">'Base Despesas'!I42</f>
        <v>0</v>
      </c>
      <c r="J101" s="23" t="n">
        <f aca="false">'Base Despesas'!H42</f>
        <v>0</v>
      </c>
    </row>
    <row r="102" customFormat="false" ht="15" hidden="false" customHeight="false" outlineLevel="0" collapsed="false">
      <c r="A102" s="23" t="s">
        <v>17</v>
      </c>
      <c r="B102" s="23" t="str">
        <f aca="false">'Base Despesas'!A43</f>
        <v>Janeiro</v>
      </c>
      <c r="C102" s="23" t="str">
        <f aca="false">'Base Despesas'!B43</f>
        <v>Salários e Benefícios</v>
      </c>
      <c r="D102" s="23" t="str">
        <f aca="false">'Base Despesas'!C43</f>
        <v>VT Thais</v>
      </c>
      <c r="E102" s="24" t="n">
        <f aca="false">'Base Despesas'!D43</f>
        <v>188</v>
      </c>
      <c r="F102" s="23" t="str">
        <f aca="false">'Base Despesas'!F43</f>
        <v>Pix</v>
      </c>
      <c r="G102" s="23" t="str">
        <f aca="false">'Base Despesas'!G43</f>
        <v>PAGO</v>
      </c>
      <c r="H102" s="23" t="n">
        <f aca="false">'Base Despesas'!E43</f>
        <v>1</v>
      </c>
      <c r="I102" s="23" t="n">
        <f aca="false">'Base Despesas'!I43</f>
        <v>0</v>
      </c>
      <c r="J102" s="23" t="n">
        <f aca="false">'Base Despesas'!H43</f>
        <v>0</v>
      </c>
    </row>
    <row r="103" customFormat="false" ht="15" hidden="false" customHeight="false" outlineLevel="0" collapsed="false">
      <c r="A103" s="23" t="s">
        <v>17</v>
      </c>
      <c r="B103" s="23" t="str">
        <f aca="false">'Base Despesas'!A44</f>
        <v>Fevereiro</v>
      </c>
      <c r="C103" s="23" t="str">
        <f aca="false">'Base Despesas'!B44</f>
        <v>Salários e Benefícios</v>
      </c>
      <c r="D103" s="23" t="str">
        <f aca="false">'Base Despesas'!C44</f>
        <v>VT Thais</v>
      </c>
      <c r="E103" s="24" t="n">
        <f aca="false">'Base Despesas'!D44</f>
        <v>164.5</v>
      </c>
      <c r="F103" s="23" t="n">
        <f aca="false">'Base Despesas'!F44</f>
        <v>0</v>
      </c>
      <c r="G103" s="23" t="str">
        <f aca="false">'Base Despesas'!G44</f>
        <v>PAGO</v>
      </c>
      <c r="H103" s="23" t="n">
        <f aca="false">'Base Despesas'!E44</f>
        <v>1</v>
      </c>
      <c r="I103" s="23" t="n">
        <f aca="false">'Base Despesas'!I44</f>
        <v>0</v>
      </c>
      <c r="J103" s="23" t="n">
        <f aca="false">'Base Despesas'!H44</f>
        <v>0</v>
      </c>
    </row>
    <row r="104" customFormat="false" ht="15" hidden="false" customHeight="false" outlineLevel="0" collapsed="false">
      <c r="A104" s="23" t="s">
        <v>17</v>
      </c>
      <c r="B104" s="23" t="str">
        <f aca="false">'Base Despesas'!A45</f>
        <v>Março</v>
      </c>
      <c r="C104" s="23" t="str">
        <f aca="false">'Base Despesas'!B45</f>
        <v>Salários e Benefícios</v>
      </c>
      <c r="D104" s="23" t="str">
        <f aca="false">'Base Despesas'!C45</f>
        <v>VT Thais</v>
      </c>
      <c r="E104" s="24" t="n">
        <f aca="false">'Base Despesas'!D45</f>
        <v>0</v>
      </c>
      <c r="F104" s="23" t="n">
        <f aca="false">'Base Despesas'!F45</f>
        <v>0</v>
      </c>
      <c r="G104" s="23" t="n">
        <f aca="false">'Base Despesas'!G45</f>
        <v>0</v>
      </c>
      <c r="H104" s="23" t="n">
        <f aca="false">'Base Despesas'!E45</f>
        <v>1</v>
      </c>
      <c r="I104" s="23" t="n">
        <f aca="false">'Base Despesas'!I45</f>
        <v>0</v>
      </c>
      <c r="J104" s="23" t="n">
        <f aca="false">'Base Despesas'!H45</f>
        <v>0</v>
      </c>
    </row>
    <row r="105" customFormat="false" ht="15" hidden="false" customHeight="false" outlineLevel="0" collapsed="false">
      <c r="A105" s="23" t="s">
        <v>17</v>
      </c>
      <c r="B105" s="23" t="str">
        <f aca="false">'Base Despesas'!A46</f>
        <v>Abril</v>
      </c>
      <c r="C105" s="23" t="str">
        <f aca="false">'Base Despesas'!B46</f>
        <v>Salários e Benefícios</v>
      </c>
      <c r="D105" s="23" t="str">
        <f aca="false">'Base Despesas'!C46</f>
        <v>VT Thais</v>
      </c>
      <c r="E105" s="24" t="n">
        <f aca="false">'Base Despesas'!D46</f>
        <v>0</v>
      </c>
      <c r="F105" s="23" t="n">
        <f aca="false">'Base Despesas'!F46</f>
        <v>0</v>
      </c>
      <c r="G105" s="23" t="n">
        <f aca="false">'Base Despesas'!G46</f>
        <v>0</v>
      </c>
      <c r="H105" s="23" t="n">
        <f aca="false">'Base Despesas'!E46</f>
        <v>1</v>
      </c>
      <c r="I105" s="23" t="n">
        <f aca="false">'Base Despesas'!I46</f>
        <v>0</v>
      </c>
      <c r="J105" s="23" t="n">
        <f aca="false">'Base Despesas'!H46</f>
        <v>0</v>
      </c>
    </row>
    <row r="106" customFormat="false" ht="15" hidden="false" customHeight="false" outlineLevel="0" collapsed="false">
      <c r="A106" s="23" t="s">
        <v>17</v>
      </c>
      <c r="B106" s="23" t="str">
        <f aca="false">'Base Despesas'!A47</f>
        <v>Maio</v>
      </c>
      <c r="C106" s="23" t="str">
        <f aca="false">'Base Despesas'!B47</f>
        <v>Salários e Benefícios</v>
      </c>
      <c r="D106" s="23" t="str">
        <f aca="false">'Base Despesas'!C47</f>
        <v>VT Thais</v>
      </c>
      <c r="E106" s="24" t="n">
        <f aca="false">'Base Despesas'!D47</f>
        <v>0</v>
      </c>
      <c r="F106" s="23" t="n">
        <f aca="false">'Base Despesas'!F47</f>
        <v>0</v>
      </c>
      <c r="G106" s="23" t="n">
        <f aca="false">'Base Despesas'!G47</f>
        <v>0</v>
      </c>
      <c r="H106" s="23" t="n">
        <f aca="false">'Base Despesas'!E47</f>
        <v>1</v>
      </c>
      <c r="I106" s="23" t="n">
        <f aca="false">'Base Despesas'!I47</f>
        <v>0</v>
      </c>
      <c r="J106" s="23" t="n">
        <f aca="false">'Base Despesas'!H47</f>
        <v>0</v>
      </c>
    </row>
    <row r="107" customFormat="false" ht="15" hidden="false" customHeight="false" outlineLevel="0" collapsed="false">
      <c r="A107" s="23" t="s">
        <v>17</v>
      </c>
      <c r="B107" s="23" t="str">
        <f aca="false">'Base Despesas'!A48</f>
        <v>Janeiro</v>
      </c>
      <c r="C107" s="23" t="str">
        <f aca="false">'Base Despesas'!B48</f>
        <v>Salários e Benefícios</v>
      </c>
      <c r="D107" s="23" t="str">
        <f aca="false">'Base Despesas'!C48</f>
        <v>VT Patrick OFICIAL</v>
      </c>
      <c r="E107" s="24" t="n">
        <f aca="false">'Base Despesas'!D48</f>
        <v>0</v>
      </c>
      <c r="F107" s="23" t="str">
        <f aca="false">'Base Despesas'!F48</f>
        <v>Pix</v>
      </c>
      <c r="G107" s="23" t="str">
        <f aca="false">'Base Despesas'!G48</f>
        <v>PAGO</v>
      </c>
      <c r="H107" s="23" t="n">
        <f aca="false">'Base Despesas'!E48</f>
        <v>1</v>
      </c>
      <c r="I107" s="23" t="n">
        <f aca="false">'Base Despesas'!I48</f>
        <v>0</v>
      </c>
      <c r="J107" s="23" t="n">
        <f aca="false">'Base Despesas'!H48</f>
        <v>0</v>
      </c>
    </row>
    <row r="108" customFormat="false" ht="15" hidden="false" customHeight="false" outlineLevel="0" collapsed="false">
      <c r="A108" s="23" t="s">
        <v>17</v>
      </c>
      <c r="B108" s="23" t="str">
        <f aca="false">'Base Despesas'!A49</f>
        <v>Fevereiro</v>
      </c>
      <c r="C108" s="23" t="str">
        <f aca="false">'Base Despesas'!B49</f>
        <v>Salários e Benefícios</v>
      </c>
      <c r="D108" s="23" t="str">
        <f aca="false">'Base Despesas'!C49</f>
        <v>VT Patrick OFICIAL</v>
      </c>
      <c r="E108" s="24" t="n">
        <f aca="false">'Base Despesas'!D49</f>
        <v>37.1</v>
      </c>
      <c r="F108" s="23" t="n">
        <f aca="false">'Base Despesas'!F49</f>
        <v>0</v>
      </c>
      <c r="G108" s="23" t="str">
        <f aca="false">'Base Despesas'!G49</f>
        <v>PAGO</v>
      </c>
      <c r="H108" s="23" t="n">
        <f aca="false">'Base Despesas'!E49</f>
        <v>1</v>
      </c>
      <c r="I108" s="23" t="n">
        <f aca="false">'Base Despesas'!I49</f>
        <v>0</v>
      </c>
      <c r="J108" s="23" t="n">
        <f aca="false">'Base Despesas'!H49</f>
        <v>0</v>
      </c>
    </row>
    <row r="109" customFormat="false" ht="15" hidden="false" customHeight="false" outlineLevel="0" collapsed="false">
      <c r="A109" s="23" t="s">
        <v>17</v>
      </c>
      <c r="B109" s="23" t="str">
        <f aca="false">'Base Despesas'!A50</f>
        <v>Março</v>
      </c>
      <c r="C109" s="23" t="str">
        <f aca="false">'Base Despesas'!B50</f>
        <v>Salários e Benefícios</v>
      </c>
      <c r="D109" s="23" t="str">
        <f aca="false">'Base Despesas'!C50</f>
        <v>VT Patrick OFICIAL</v>
      </c>
      <c r="E109" s="24" t="n">
        <f aca="false">'Base Despesas'!D50</f>
        <v>0</v>
      </c>
      <c r="F109" s="23" t="n">
        <f aca="false">'Base Despesas'!F50</f>
        <v>0</v>
      </c>
      <c r="G109" s="23" t="n">
        <f aca="false">'Base Despesas'!G50</f>
        <v>0</v>
      </c>
      <c r="H109" s="23" t="n">
        <f aca="false">'Base Despesas'!E50</f>
        <v>1</v>
      </c>
      <c r="I109" s="23" t="n">
        <f aca="false">'Base Despesas'!I50</f>
        <v>0</v>
      </c>
      <c r="J109" s="23" t="n">
        <f aca="false">'Base Despesas'!H50</f>
        <v>0</v>
      </c>
    </row>
    <row r="110" customFormat="false" ht="15" hidden="false" customHeight="false" outlineLevel="0" collapsed="false">
      <c r="A110" s="23" t="s">
        <v>17</v>
      </c>
      <c r="B110" s="23" t="str">
        <f aca="false">'Base Despesas'!A51</f>
        <v>Abril</v>
      </c>
      <c r="C110" s="23" t="str">
        <f aca="false">'Base Despesas'!B51</f>
        <v>Salários e Benefícios</v>
      </c>
      <c r="D110" s="23" t="str">
        <f aca="false">'Base Despesas'!C51</f>
        <v>VT Patrick OFICIAL</v>
      </c>
      <c r="E110" s="24" t="n">
        <f aca="false">'Base Despesas'!D51</f>
        <v>0</v>
      </c>
      <c r="F110" s="23" t="n">
        <f aca="false">'Base Despesas'!F51</f>
        <v>0</v>
      </c>
      <c r="G110" s="23" t="n">
        <f aca="false">'Base Despesas'!G51</f>
        <v>0</v>
      </c>
      <c r="H110" s="23" t="n">
        <f aca="false">'Base Despesas'!E51</f>
        <v>30</v>
      </c>
      <c r="I110" s="23" t="n">
        <f aca="false">'Base Despesas'!I51</f>
        <v>0</v>
      </c>
      <c r="J110" s="23" t="n">
        <f aca="false">'Base Despesas'!H51</f>
        <v>0</v>
      </c>
    </row>
    <row r="111" customFormat="false" ht="15" hidden="false" customHeight="false" outlineLevel="0" collapsed="false">
      <c r="A111" s="23" t="s">
        <v>17</v>
      </c>
      <c r="B111" s="23" t="str">
        <f aca="false">'Base Despesas'!A52</f>
        <v>Maio</v>
      </c>
      <c r="C111" s="23" t="str">
        <f aca="false">'Base Despesas'!B52</f>
        <v>Salários e Benefícios</v>
      </c>
      <c r="D111" s="23" t="str">
        <f aca="false">'Base Despesas'!C52</f>
        <v>VT Patrick OFICIAL</v>
      </c>
      <c r="E111" s="24" t="n">
        <f aca="false">'Base Despesas'!D52</f>
        <v>0</v>
      </c>
      <c r="F111" s="23" t="n">
        <f aca="false">'Base Despesas'!F52</f>
        <v>0</v>
      </c>
      <c r="G111" s="23" t="n">
        <f aca="false">'Base Despesas'!G52</f>
        <v>0</v>
      </c>
      <c r="H111" s="23" t="n">
        <f aca="false">'Base Despesas'!E52</f>
        <v>30</v>
      </c>
      <c r="I111" s="23" t="n">
        <f aca="false">'Base Despesas'!I52</f>
        <v>0</v>
      </c>
      <c r="J111" s="23" t="n">
        <f aca="false">'Base Despesas'!H52</f>
        <v>0</v>
      </c>
    </row>
    <row r="112" customFormat="false" ht="15" hidden="false" customHeight="false" outlineLevel="0" collapsed="false">
      <c r="A112" s="23" t="s">
        <v>17</v>
      </c>
      <c r="B112" s="23" t="str">
        <f aca="false">'Base Despesas'!A53</f>
        <v>Janeiro</v>
      </c>
      <c r="C112" s="23" t="str">
        <f aca="false">'Base Despesas'!B53</f>
        <v>Licenças / Ferramentas</v>
      </c>
      <c r="D112" s="23" t="str">
        <f aca="false">'Base Despesas'!C53</f>
        <v>Google Cloud</v>
      </c>
      <c r="E112" s="24" t="n">
        <f aca="false">'Base Despesas'!D53</f>
        <v>148.59</v>
      </c>
      <c r="F112" s="23" t="n">
        <f aca="false">'Base Despesas'!F53</f>
        <v>0</v>
      </c>
      <c r="G112" s="23" t="n">
        <f aca="false">'Base Despesas'!G53</f>
        <v>0</v>
      </c>
      <c r="H112" s="23" t="n">
        <f aca="false">'Base Despesas'!E53</f>
        <v>0</v>
      </c>
      <c r="I112" s="23" t="n">
        <f aca="false">'Base Despesas'!I53</f>
        <v>0</v>
      </c>
      <c r="J112" s="23" t="n">
        <f aca="false">'Base Despesas'!H53</f>
        <v>0</v>
      </c>
    </row>
    <row r="113" customFormat="false" ht="15" hidden="false" customHeight="false" outlineLevel="0" collapsed="false">
      <c r="A113" s="23" t="s">
        <v>17</v>
      </c>
      <c r="B113" s="23" t="str">
        <f aca="false">'Base Despesas'!A54</f>
        <v>Fevereiro</v>
      </c>
      <c r="C113" s="23" t="str">
        <f aca="false">'Base Despesas'!B54</f>
        <v>Licenças / Ferramentas</v>
      </c>
      <c r="D113" s="23" t="str">
        <f aca="false">'Base Despesas'!C54</f>
        <v>Google Cloud</v>
      </c>
      <c r="E113" s="24" t="n">
        <f aca="false">'Base Despesas'!D54</f>
        <v>148.59</v>
      </c>
      <c r="F113" s="23" t="n">
        <f aca="false">'Base Despesas'!F54</f>
        <v>0</v>
      </c>
      <c r="G113" s="23" t="n">
        <f aca="false">'Base Despesas'!G54</f>
        <v>0</v>
      </c>
      <c r="H113" s="23" t="n">
        <f aca="false">'Base Despesas'!E54</f>
        <v>0</v>
      </c>
      <c r="I113" s="23" t="n">
        <f aca="false">'Base Despesas'!I54</f>
        <v>0</v>
      </c>
      <c r="J113" s="23" t="n">
        <f aca="false">'Base Despesas'!H54</f>
        <v>0</v>
      </c>
    </row>
    <row r="114" customFormat="false" ht="15" hidden="false" customHeight="false" outlineLevel="0" collapsed="false">
      <c r="A114" s="23" t="s">
        <v>17</v>
      </c>
      <c r="B114" s="23" t="str">
        <f aca="false">'Base Despesas'!A55</f>
        <v>Março</v>
      </c>
      <c r="C114" s="23" t="str">
        <f aca="false">'Base Despesas'!B55</f>
        <v>Licenças / Ferramentas</v>
      </c>
      <c r="D114" s="23" t="str">
        <f aca="false">'Base Despesas'!C55</f>
        <v>Google Cloud</v>
      </c>
      <c r="E114" s="24" t="n">
        <f aca="false">'Base Despesas'!D55</f>
        <v>148.59</v>
      </c>
      <c r="F114" s="23" t="n">
        <f aca="false">'Base Despesas'!F55</f>
        <v>0</v>
      </c>
      <c r="G114" s="23" t="n">
        <f aca="false">'Base Despesas'!G55</f>
        <v>0</v>
      </c>
      <c r="H114" s="23" t="n">
        <f aca="false">'Base Despesas'!E55</f>
        <v>0</v>
      </c>
      <c r="I114" s="23" t="n">
        <f aca="false">'Base Despesas'!I55</f>
        <v>0</v>
      </c>
      <c r="J114" s="23" t="n">
        <f aca="false">'Base Despesas'!H55</f>
        <v>0</v>
      </c>
    </row>
    <row r="115" customFormat="false" ht="15" hidden="false" customHeight="false" outlineLevel="0" collapsed="false">
      <c r="A115" s="23" t="s">
        <v>17</v>
      </c>
      <c r="B115" s="23" t="str">
        <f aca="false">'Base Despesas'!A56</f>
        <v>Abril</v>
      </c>
      <c r="C115" s="23" t="str">
        <f aca="false">'Base Despesas'!B56</f>
        <v>Licenças / Ferramentas</v>
      </c>
      <c r="D115" s="23" t="str">
        <f aca="false">'Base Despesas'!C56</f>
        <v>Google Cloud</v>
      </c>
      <c r="E115" s="24" t="n">
        <f aca="false">'Base Despesas'!D56</f>
        <v>148.59</v>
      </c>
      <c r="F115" s="23" t="n">
        <f aca="false">'Base Despesas'!F56</f>
        <v>0</v>
      </c>
      <c r="G115" s="23" t="n">
        <f aca="false">'Base Despesas'!G56</f>
        <v>0</v>
      </c>
      <c r="H115" s="23" t="n">
        <f aca="false">'Base Despesas'!E56</f>
        <v>0</v>
      </c>
      <c r="I115" s="23" t="n">
        <f aca="false">'Base Despesas'!I56</f>
        <v>0</v>
      </c>
      <c r="J115" s="23" t="n">
        <f aca="false">'Base Despesas'!H56</f>
        <v>0</v>
      </c>
    </row>
    <row r="116" customFormat="false" ht="15" hidden="false" customHeight="false" outlineLevel="0" collapsed="false">
      <c r="A116" s="23" t="s">
        <v>17</v>
      </c>
      <c r="B116" s="23" t="str">
        <f aca="false">'Base Despesas'!A57</f>
        <v>Maio</v>
      </c>
      <c r="C116" s="23" t="str">
        <f aca="false">'Base Despesas'!B57</f>
        <v>Licenças / Ferramentas</v>
      </c>
      <c r="D116" s="23" t="str">
        <f aca="false">'Base Despesas'!C57</f>
        <v>Google Cloud</v>
      </c>
      <c r="E116" s="24" t="n">
        <f aca="false">'Base Despesas'!D57</f>
        <v>148.59</v>
      </c>
      <c r="F116" s="23" t="n">
        <f aca="false">'Base Despesas'!F57</f>
        <v>0</v>
      </c>
      <c r="G116" s="23" t="n">
        <f aca="false">'Base Despesas'!G57</f>
        <v>0</v>
      </c>
      <c r="H116" s="23" t="n">
        <f aca="false">'Base Despesas'!E57</f>
        <v>0</v>
      </c>
      <c r="I116" s="23" t="n">
        <f aca="false">'Base Despesas'!I57</f>
        <v>0</v>
      </c>
      <c r="J116" s="23" t="n">
        <f aca="false">'Base Despesas'!H57</f>
        <v>0</v>
      </c>
    </row>
    <row r="117" customFormat="false" ht="15" hidden="false" customHeight="false" outlineLevel="0" collapsed="false">
      <c r="A117" s="23" t="s">
        <v>17</v>
      </c>
      <c r="B117" s="23" t="str">
        <f aca="false">'Base Despesas'!A58</f>
        <v>Janeiro</v>
      </c>
      <c r="C117" s="23" t="str">
        <f aca="false">'Base Despesas'!B58</f>
        <v>Licenças / Ferramentas</v>
      </c>
      <c r="D117" s="23" t="str">
        <f aca="false">'Base Despesas'!C58</f>
        <v>Gsuite Bamasses</v>
      </c>
      <c r="E117" s="24" t="n">
        <f aca="false">'Base Despesas'!D58</f>
        <v>100</v>
      </c>
      <c r="F117" s="23" t="n">
        <f aca="false">'Base Despesas'!F58</f>
        <v>0</v>
      </c>
      <c r="G117" s="23" t="n">
        <f aca="false">'Base Despesas'!G58</f>
        <v>0</v>
      </c>
      <c r="H117" s="23" t="n">
        <f aca="false">'Base Despesas'!E58</f>
        <v>0</v>
      </c>
      <c r="I117" s="23" t="n">
        <f aca="false">'Base Despesas'!I58</f>
        <v>0</v>
      </c>
      <c r="J117" s="23" t="n">
        <f aca="false">'Base Despesas'!H58</f>
        <v>0</v>
      </c>
    </row>
    <row r="118" customFormat="false" ht="15" hidden="false" customHeight="false" outlineLevel="0" collapsed="false">
      <c r="A118" s="23" t="s">
        <v>17</v>
      </c>
      <c r="B118" s="23" t="str">
        <f aca="false">'Base Despesas'!A59</f>
        <v>Fevereiro</v>
      </c>
      <c r="C118" s="23" t="str">
        <f aca="false">'Base Despesas'!B59</f>
        <v>Licenças / Ferramentas</v>
      </c>
      <c r="D118" s="23" t="str">
        <f aca="false">'Base Despesas'!C59</f>
        <v>Gsuite Bamasses</v>
      </c>
      <c r="E118" s="24" t="n">
        <f aca="false">'Base Despesas'!D59</f>
        <v>100</v>
      </c>
      <c r="F118" s="23" t="n">
        <f aca="false">'Base Despesas'!F59</f>
        <v>0</v>
      </c>
      <c r="G118" s="23" t="n">
        <f aca="false">'Base Despesas'!G59</f>
        <v>0</v>
      </c>
      <c r="H118" s="23" t="n">
        <f aca="false">'Base Despesas'!E59</f>
        <v>0</v>
      </c>
      <c r="I118" s="23" t="n">
        <f aca="false">'Base Despesas'!I59</f>
        <v>0</v>
      </c>
      <c r="J118" s="23" t="n">
        <f aca="false">'Base Despesas'!H59</f>
        <v>0</v>
      </c>
    </row>
    <row r="119" customFormat="false" ht="15" hidden="false" customHeight="false" outlineLevel="0" collapsed="false">
      <c r="A119" s="23" t="s">
        <v>17</v>
      </c>
      <c r="B119" s="23" t="str">
        <f aca="false">'Base Despesas'!A60</f>
        <v>Março</v>
      </c>
      <c r="C119" s="23" t="str">
        <f aca="false">'Base Despesas'!B60</f>
        <v>Licenças / Ferramentas</v>
      </c>
      <c r="D119" s="23" t="str">
        <f aca="false">'Base Despesas'!C60</f>
        <v>Gsuite Bamasses</v>
      </c>
      <c r="E119" s="24" t="n">
        <f aca="false">'Base Despesas'!D60</f>
        <v>100</v>
      </c>
      <c r="F119" s="23" t="n">
        <f aca="false">'Base Despesas'!F60</f>
        <v>0</v>
      </c>
      <c r="G119" s="23" t="n">
        <f aca="false">'Base Despesas'!G60</f>
        <v>0</v>
      </c>
      <c r="H119" s="23" t="n">
        <f aca="false">'Base Despesas'!E60</f>
        <v>0</v>
      </c>
      <c r="I119" s="23" t="n">
        <f aca="false">'Base Despesas'!I60</f>
        <v>0</v>
      </c>
      <c r="J119" s="23" t="n">
        <f aca="false">'Base Despesas'!H60</f>
        <v>0</v>
      </c>
    </row>
    <row r="120" customFormat="false" ht="15" hidden="false" customHeight="false" outlineLevel="0" collapsed="false">
      <c r="A120" s="23" t="s">
        <v>17</v>
      </c>
      <c r="B120" s="23" t="str">
        <f aca="false">'Base Despesas'!A61</f>
        <v>Abril</v>
      </c>
      <c r="C120" s="23" t="str">
        <f aca="false">'Base Despesas'!B61</f>
        <v>Licenças / Ferramentas</v>
      </c>
      <c r="D120" s="23" t="str">
        <f aca="false">'Base Despesas'!C61</f>
        <v>Gsuite Bamasses</v>
      </c>
      <c r="E120" s="24" t="n">
        <f aca="false">'Base Despesas'!D61</f>
        <v>100</v>
      </c>
      <c r="F120" s="23" t="n">
        <f aca="false">'Base Despesas'!F61</f>
        <v>0</v>
      </c>
      <c r="G120" s="23" t="n">
        <f aca="false">'Base Despesas'!G61</f>
        <v>0</v>
      </c>
      <c r="H120" s="23" t="n">
        <f aca="false">'Base Despesas'!E61</f>
        <v>0</v>
      </c>
      <c r="I120" s="23" t="n">
        <f aca="false">'Base Despesas'!I61</f>
        <v>0</v>
      </c>
      <c r="J120" s="23" t="n">
        <f aca="false">'Base Despesas'!H61</f>
        <v>0</v>
      </c>
    </row>
    <row r="121" customFormat="false" ht="15" hidden="false" customHeight="false" outlineLevel="0" collapsed="false">
      <c r="A121" s="23" t="s">
        <v>17</v>
      </c>
      <c r="B121" s="23" t="str">
        <f aca="false">'Base Despesas'!A62</f>
        <v>Maio</v>
      </c>
      <c r="C121" s="23" t="str">
        <f aca="false">'Base Despesas'!B62</f>
        <v>Licenças / Ferramentas</v>
      </c>
      <c r="D121" s="23" t="str">
        <f aca="false">'Base Despesas'!C62</f>
        <v>Gsuite Bamasses</v>
      </c>
      <c r="E121" s="24" t="n">
        <f aca="false">'Base Despesas'!D62</f>
        <v>100</v>
      </c>
      <c r="F121" s="23" t="n">
        <f aca="false">'Base Despesas'!F62</f>
        <v>0</v>
      </c>
      <c r="G121" s="23" t="n">
        <f aca="false">'Base Despesas'!G62</f>
        <v>0</v>
      </c>
      <c r="H121" s="23" t="n">
        <f aca="false">'Base Despesas'!E62</f>
        <v>0</v>
      </c>
      <c r="I121" s="23" t="n">
        <f aca="false">'Base Despesas'!I62</f>
        <v>0</v>
      </c>
      <c r="J121" s="23" t="n">
        <f aca="false">'Base Despesas'!H62</f>
        <v>0</v>
      </c>
    </row>
    <row r="122" customFormat="false" ht="15" hidden="false" customHeight="false" outlineLevel="0" collapsed="false">
      <c r="A122" s="23" t="s">
        <v>17</v>
      </c>
      <c r="B122" s="23" t="str">
        <f aca="false">'Base Despesas'!A63</f>
        <v>Janeiro</v>
      </c>
      <c r="C122" s="23" t="str">
        <f aca="false">'Base Despesas'!B63</f>
        <v>Licenças / Ferramentas</v>
      </c>
      <c r="D122" s="23" t="str">
        <f aca="false">'Base Despesas'!C63</f>
        <v>Google One</v>
      </c>
      <c r="E122" s="24" t="n">
        <f aca="false">'Base Despesas'!D63</f>
        <v>14.99</v>
      </c>
      <c r="F122" s="23" t="n">
        <f aca="false">'Base Despesas'!F63</f>
        <v>0</v>
      </c>
      <c r="G122" s="23" t="n">
        <f aca="false">'Base Despesas'!G63</f>
        <v>0</v>
      </c>
      <c r="H122" s="23" t="n">
        <f aca="false">'Base Despesas'!E63</f>
        <v>0</v>
      </c>
      <c r="I122" s="23" t="n">
        <f aca="false">'Base Despesas'!I63</f>
        <v>0</v>
      </c>
      <c r="J122" s="23" t="n">
        <f aca="false">'Base Despesas'!H63</f>
        <v>0</v>
      </c>
    </row>
    <row r="123" customFormat="false" ht="15" hidden="false" customHeight="false" outlineLevel="0" collapsed="false">
      <c r="A123" s="23" t="s">
        <v>17</v>
      </c>
      <c r="B123" s="23" t="str">
        <f aca="false">'Base Despesas'!A64</f>
        <v>Fevereiro</v>
      </c>
      <c r="C123" s="23" t="str">
        <f aca="false">'Base Despesas'!B64</f>
        <v>Licenças / Ferramentas</v>
      </c>
      <c r="D123" s="23" t="str">
        <f aca="false">'Base Despesas'!C64</f>
        <v>Google One</v>
      </c>
      <c r="E123" s="24" t="n">
        <f aca="false">'Base Despesas'!D64</f>
        <v>14.99</v>
      </c>
      <c r="F123" s="23" t="n">
        <f aca="false">'Base Despesas'!F64</f>
        <v>0</v>
      </c>
      <c r="G123" s="23" t="n">
        <f aca="false">'Base Despesas'!G64</f>
        <v>0</v>
      </c>
      <c r="H123" s="23" t="n">
        <f aca="false">'Base Despesas'!E64</f>
        <v>0</v>
      </c>
      <c r="I123" s="23" t="n">
        <f aca="false">'Base Despesas'!I64</f>
        <v>0</v>
      </c>
      <c r="J123" s="23" t="n">
        <f aca="false">'Base Despesas'!H64</f>
        <v>0</v>
      </c>
    </row>
    <row r="124" customFormat="false" ht="15" hidden="false" customHeight="false" outlineLevel="0" collapsed="false">
      <c r="A124" s="23" t="s">
        <v>17</v>
      </c>
      <c r="B124" s="23" t="str">
        <f aca="false">'Base Despesas'!A65</f>
        <v>Março</v>
      </c>
      <c r="C124" s="23" t="str">
        <f aca="false">'Base Despesas'!B65</f>
        <v>Licenças / Ferramentas</v>
      </c>
      <c r="D124" s="23" t="str">
        <f aca="false">'Base Despesas'!C65</f>
        <v>Google One</v>
      </c>
      <c r="E124" s="24" t="n">
        <f aca="false">'Base Despesas'!D65</f>
        <v>14.99</v>
      </c>
      <c r="F124" s="23" t="n">
        <f aca="false">'Base Despesas'!F65</f>
        <v>0</v>
      </c>
      <c r="G124" s="23" t="n">
        <f aca="false">'Base Despesas'!G65</f>
        <v>0</v>
      </c>
      <c r="H124" s="23" t="n">
        <f aca="false">'Base Despesas'!E65</f>
        <v>0</v>
      </c>
      <c r="I124" s="23" t="n">
        <f aca="false">'Base Despesas'!I65</f>
        <v>0</v>
      </c>
      <c r="J124" s="23" t="n">
        <f aca="false">'Base Despesas'!H65</f>
        <v>0</v>
      </c>
    </row>
    <row r="125" customFormat="false" ht="15" hidden="false" customHeight="false" outlineLevel="0" collapsed="false">
      <c r="A125" s="23" t="s">
        <v>17</v>
      </c>
      <c r="B125" s="23" t="str">
        <f aca="false">'Base Despesas'!A66</f>
        <v>Abril</v>
      </c>
      <c r="C125" s="23" t="str">
        <f aca="false">'Base Despesas'!B66</f>
        <v>Licenças / Ferramentas</v>
      </c>
      <c r="D125" s="23" t="str">
        <f aca="false">'Base Despesas'!C66</f>
        <v>Google One</v>
      </c>
      <c r="E125" s="24" t="n">
        <f aca="false">'Base Despesas'!D66</f>
        <v>14.99</v>
      </c>
      <c r="F125" s="23" t="n">
        <f aca="false">'Base Despesas'!F66</f>
        <v>0</v>
      </c>
      <c r="G125" s="23" t="n">
        <f aca="false">'Base Despesas'!G66</f>
        <v>0</v>
      </c>
      <c r="H125" s="23" t="n">
        <f aca="false">'Base Despesas'!E66</f>
        <v>0</v>
      </c>
      <c r="I125" s="23" t="n">
        <f aca="false">'Base Despesas'!I66</f>
        <v>0</v>
      </c>
      <c r="J125" s="23" t="n">
        <f aca="false">'Base Despesas'!H66</f>
        <v>0</v>
      </c>
    </row>
    <row r="126" customFormat="false" ht="15" hidden="false" customHeight="false" outlineLevel="0" collapsed="false">
      <c r="A126" s="23" t="s">
        <v>17</v>
      </c>
      <c r="B126" s="23" t="str">
        <f aca="false">'Base Despesas'!A67</f>
        <v>Maio</v>
      </c>
      <c r="C126" s="23" t="str">
        <f aca="false">'Base Despesas'!B67</f>
        <v>Licenças / Ferramentas</v>
      </c>
      <c r="D126" s="23" t="str">
        <f aca="false">'Base Despesas'!C67</f>
        <v>Google One</v>
      </c>
      <c r="E126" s="24" t="n">
        <f aca="false">'Base Despesas'!D67</f>
        <v>14.99</v>
      </c>
      <c r="F126" s="23" t="n">
        <f aca="false">'Base Despesas'!F67</f>
        <v>0</v>
      </c>
      <c r="G126" s="23" t="n">
        <f aca="false">'Base Despesas'!G67</f>
        <v>0</v>
      </c>
      <c r="H126" s="23" t="n">
        <f aca="false">'Base Despesas'!E67</f>
        <v>0</v>
      </c>
      <c r="I126" s="23" t="n">
        <f aca="false">'Base Despesas'!I67</f>
        <v>0</v>
      </c>
      <c r="J126" s="23" t="n">
        <f aca="false">'Base Despesas'!H67</f>
        <v>0</v>
      </c>
    </row>
    <row r="127" customFormat="false" ht="15" hidden="false" customHeight="false" outlineLevel="0" collapsed="false">
      <c r="A127" s="23" t="s">
        <v>17</v>
      </c>
      <c r="B127" s="23" t="str">
        <f aca="false">'Base Despesas'!A68</f>
        <v>Janeiro</v>
      </c>
      <c r="C127" s="23" t="str">
        <f aca="false">'Base Despesas'!B68</f>
        <v>Licenças / Ferramentas</v>
      </c>
      <c r="D127" s="23" t="str">
        <f aca="false">'Base Despesas'!C68</f>
        <v>Fluterflow</v>
      </c>
      <c r="E127" s="24" t="n">
        <f aca="false">'Base Despesas'!D68</f>
        <v>214.82</v>
      </c>
      <c r="F127" s="23" t="n">
        <f aca="false">'Base Despesas'!F68</f>
        <v>0</v>
      </c>
      <c r="G127" s="23" t="n">
        <f aca="false">'Base Despesas'!G68</f>
        <v>0</v>
      </c>
      <c r="H127" s="23" t="n">
        <f aca="false">'Base Despesas'!E68</f>
        <v>0</v>
      </c>
      <c r="I127" s="23" t="n">
        <f aca="false">'Base Despesas'!I68</f>
        <v>0</v>
      </c>
      <c r="J127" s="23" t="n">
        <f aca="false">'Base Despesas'!H68</f>
        <v>0</v>
      </c>
    </row>
    <row r="128" customFormat="false" ht="15" hidden="false" customHeight="false" outlineLevel="0" collapsed="false">
      <c r="A128" s="23" t="s">
        <v>17</v>
      </c>
      <c r="B128" s="23" t="str">
        <f aca="false">'Base Despesas'!A69</f>
        <v>Fevereiro</v>
      </c>
      <c r="C128" s="23" t="str">
        <f aca="false">'Base Despesas'!B69</f>
        <v>Licenças / Ferramentas</v>
      </c>
      <c r="D128" s="23" t="str">
        <f aca="false">'Base Despesas'!C69</f>
        <v>Fluterflow</v>
      </c>
      <c r="E128" s="24" t="n">
        <f aca="false">'Base Despesas'!D69</f>
        <v>214.82</v>
      </c>
      <c r="F128" s="23" t="n">
        <f aca="false">'Base Despesas'!F69</f>
        <v>0</v>
      </c>
      <c r="G128" s="23" t="n">
        <f aca="false">'Base Despesas'!G69</f>
        <v>0</v>
      </c>
      <c r="H128" s="23" t="n">
        <f aca="false">'Base Despesas'!E69</f>
        <v>0</v>
      </c>
      <c r="I128" s="23" t="n">
        <f aca="false">'Base Despesas'!I69</f>
        <v>0</v>
      </c>
      <c r="J128" s="23" t="n">
        <f aca="false">'Base Despesas'!H69</f>
        <v>0</v>
      </c>
    </row>
    <row r="129" customFormat="false" ht="15" hidden="false" customHeight="false" outlineLevel="0" collapsed="false">
      <c r="A129" s="23" t="s">
        <v>17</v>
      </c>
      <c r="B129" s="23" t="str">
        <f aca="false">'Base Despesas'!A70</f>
        <v>Março</v>
      </c>
      <c r="C129" s="23" t="str">
        <f aca="false">'Base Despesas'!B70</f>
        <v>Licenças / Ferramentas</v>
      </c>
      <c r="D129" s="23" t="str">
        <f aca="false">'Base Despesas'!C70</f>
        <v>Fluterflow</v>
      </c>
      <c r="E129" s="24" t="n">
        <f aca="false">'Base Despesas'!D70</f>
        <v>214.82</v>
      </c>
      <c r="F129" s="23" t="n">
        <f aca="false">'Base Despesas'!F70</f>
        <v>0</v>
      </c>
      <c r="G129" s="23" t="n">
        <f aca="false">'Base Despesas'!G70</f>
        <v>0</v>
      </c>
      <c r="H129" s="23" t="n">
        <f aca="false">'Base Despesas'!E70</f>
        <v>0</v>
      </c>
      <c r="I129" s="23" t="n">
        <f aca="false">'Base Despesas'!I70</f>
        <v>0</v>
      </c>
      <c r="J129" s="23" t="n">
        <f aca="false">'Base Despesas'!H70</f>
        <v>0</v>
      </c>
    </row>
    <row r="130" customFormat="false" ht="15" hidden="false" customHeight="false" outlineLevel="0" collapsed="false">
      <c r="A130" s="23" t="s">
        <v>17</v>
      </c>
      <c r="B130" s="23" t="str">
        <f aca="false">'Base Despesas'!A71</f>
        <v>Abril</v>
      </c>
      <c r="C130" s="23" t="str">
        <f aca="false">'Base Despesas'!B71</f>
        <v>Licenças / Ferramentas</v>
      </c>
      <c r="D130" s="23" t="str">
        <f aca="false">'Base Despesas'!C71</f>
        <v>Fluterflow</v>
      </c>
      <c r="E130" s="24" t="n">
        <f aca="false">'Base Despesas'!D71</f>
        <v>214.82</v>
      </c>
      <c r="F130" s="23" t="n">
        <f aca="false">'Base Despesas'!F71</f>
        <v>0</v>
      </c>
      <c r="G130" s="23" t="n">
        <f aca="false">'Base Despesas'!G71</f>
        <v>0</v>
      </c>
      <c r="H130" s="23" t="n">
        <f aca="false">'Base Despesas'!E71</f>
        <v>0</v>
      </c>
      <c r="I130" s="23" t="n">
        <f aca="false">'Base Despesas'!I71</f>
        <v>0</v>
      </c>
      <c r="J130" s="23" t="n">
        <f aca="false">'Base Despesas'!H71</f>
        <v>0</v>
      </c>
    </row>
    <row r="131" customFormat="false" ht="15" hidden="false" customHeight="false" outlineLevel="0" collapsed="false">
      <c r="A131" s="23" t="s">
        <v>17</v>
      </c>
      <c r="B131" s="23" t="str">
        <f aca="false">'Base Despesas'!A72</f>
        <v>Maio</v>
      </c>
      <c r="C131" s="23" t="str">
        <f aca="false">'Base Despesas'!B72</f>
        <v>Licenças / Ferramentas</v>
      </c>
      <c r="D131" s="23" t="str">
        <f aca="false">'Base Despesas'!C72</f>
        <v>Fluterflow</v>
      </c>
      <c r="E131" s="24" t="n">
        <f aca="false">'Base Despesas'!D72</f>
        <v>214.82</v>
      </c>
      <c r="F131" s="23" t="n">
        <f aca="false">'Base Despesas'!F72</f>
        <v>0</v>
      </c>
      <c r="G131" s="23" t="n">
        <f aca="false">'Base Despesas'!G72</f>
        <v>0</v>
      </c>
      <c r="H131" s="23" t="n">
        <f aca="false">'Base Despesas'!E72</f>
        <v>0</v>
      </c>
      <c r="I131" s="23" t="n">
        <f aca="false">'Base Despesas'!I72</f>
        <v>0</v>
      </c>
      <c r="J131" s="23" t="n">
        <f aca="false">'Base Despesas'!H72</f>
        <v>0</v>
      </c>
    </row>
    <row r="132" customFormat="false" ht="15" hidden="false" customHeight="false" outlineLevel="0" collapsed="false">
      <c r="A132" s="23" t="s">
        <v>17</v>
      </c>
      <c r="B132" s="23" t="str">
        <f aca="false">'Base Despesas'!A73</f>
        <v>Janeiro</v>
      </c>
      <c r="C132" s="23" t="str">
        <f aca="false">'Base Despesas'!B73</f>
        <v>Licenças / Ferramentas</v>
      </c>
      <c r="D132" s="23" t="str">
        <f aca="false">'Base Despesas'!C73</f>
        <v>Adobe</v>
      </c>
      <c r="E132" s="24" t="n">
        <f aca="false">'Base Despesas'!D73</f>
        <v>275</v>
      </c>
      <c r="F132" s="23" t="n">
        <f aca="false">'Base Despesas'!F73</f>
        <v>0</v>
      </c>
      <c r="G132" s="23" t="n">
        <f aca="false">'Base Despesas'!G73</f>
        <v>0</v>
      </c>
      <c r="H132" s="23" t="n">
        <f aca="false">'Base Despesas'!E73</f>
        <v>0</v>
      </c>
      <c r="I132" s="23" t="n">
        <f aca="false">'Base Despesas'!I73</f>
        <v>0</v>
      </c>
      <c r="J132" s="23" t="n">
        <f aca="false">'Base Despesas'!H73</f>
        <v>0</v>
      </c>
    </row>
    <row r="133" customFormat="false" ht="15" hidden="false" customHeight="false" outlineLevel="0" collapsed="false">
      <c r="A133" s="23" t="s">
        <v>17</v>
      </c>
      <c r="B133" s="23" t="str">
        <f aca="false">'Base Despesas'!A74</f>
        <v>Fevereiro</v>
      </c>
      <c r="C133" s="23" t="str">
        <f aca="false">'Base Despesas'!B74</f>
        <v>Licenças / Ferramentas</v>
      </c>
      <c r="D133" s="23" t="str">
        <f aca="false">'Base Despesas'!C74</f>
        <v>Adobe</v>
      </c>
      <c r="E133" s="24" t="n">
        <f aca="false">'Base Despesas'!D74</f>
        <v>275</v>
      </c>
      <c r="F133" s="23" t="n">
        <f aca="false">'Base Despesas'!F74</f>
        <v>0</v>
      </c>
      <c r="G133" s="23" t="n">
        <f aca="false">'Base Despesas'!G74</f>
        <v>0</v>
      </c>
      <c r="H133" s="23" t="n">
        <f aca="false">'Base Despesas'!E74</f>
        <v>0</v>
      </c>
      <c r="I133" s="23" t="n">
        <f aca="false">'Base Despesas'!I74</f>
        <v>0</v>
      </c>
      <c r="J133" s="23" t="n">
        <f aca="false">'Base Despesas'!H74</f>
        <v>0</v>
      </c>
    </row>
    <row r="134" customFormat="false" ht="15" hidden="false" customHeight="false" outlineLevel="0" collapsed="false">
      <c r="A134" s="23" t="s">
        <v>17</v>
      </c>
      <c r="B134" s="23" t="str">
        <f aca="false">'Base Despesas'!A75</f>
        <v>Março</v>
      </c>
      <c r="C134" s="23" t="str">
        <f aca="false">'Base Despesas'!B75</f>
        <v>Licenças / Ferramentas</v>
      </c>
      <c r="D134" s="23" t="str">
        <f aca="false">'Base Despesas'!C75</f>
        <v>Adobe</v>
      </c>
      <c r="E134" s="24" t="n">
        <f aca="false">'Base Despesas'!D75</f>
        <v>275</v>
      </c>
      <c r="F134" s="23" t="n">
        <f aca="false">'Base Despesas'!F75</f>
        <v>0</v>
      </c>
      <c r="G134" s="23" t="n">
        <f aca="false">'Base Despesas'!G75</f>
        <v>0</v>
      </c>
      <c r="H134" s="23" t="n">
        <f aca="false">'Base Despesas'!E75</f>
        <v>0</v>
      </c>
      <c r="I134" s="23" t="n">
        <f aca="false">'Base Despesas'!I75</f>
        <v>0</v>
      </c>
      <c r="J134" s="23" t="n">
        <f aca="false">'Base Despesas'!H75</f>
        <v>0</v>
      </c>
    </row>
    <row r="135" customFormat="false" ht="15" hidden="false" customHeight="false" outlineLevel="0" collapsed="false">
      <c r="A135" s="23" t="s">
        <v>17</v>
      </c>
      <c r="B135" s="23" t="str">
        <f aca="false">'Base Despesas'!A76</f>
        <v>Abril</v>
      </c>
      <c r="C135" s="23" t="str">
        <f aca="false">'Base Despesas'!B76</f>
        <v>Licenças / Ferramentas</v>
      </c>
      <c r="D135" s="23" t="str">
        <f aca="false">'Base Despesas'!C76</f>
        <v>Adobe</v>
      </c>
      <c r="E135" s="24" t="n">
        <f aca="false">'Base Despesas'!D76</f>
        <v>275</v>
      </c>
      <c r="F135" s="23" t="n">
        <f aca="false">'Base Despesas'!F76</f>
        <v>0</v>
      </c>
      <c r="G135" s="23" t="n">
        <f aca="false">'Base Despesas'!G76</f>
        <v>0</v>
      </c>
      <c r="H135" s="23" t="n">
        <f aca="false">'Base Despesas'!E76</f>
        <v>0</v>
      </c>
      <c r="I135" s="23" t="n">
        <f aca="false">'Base Despesas'!I76</f>
        <v>0</v>
      </c>
      <c r="J135" s="23" t="n">
        <f aca="false">'Base Despesas'!H76</f>
        <v>0</v>
      </c>
    </row>
    <row r="136" customFormat="false" ht="15" hidden="false" customHeight="false" outlineLevel="0" collapsed="false">
      <c r="A136" s="23" t="s">
        <v>17</v>
      </c>
      <c r="B136" s="23" t="str">
        <f aca="false">'Base Despesas'!A77</f>
        <v>Maio</v>
      </c>
      <c r="C136" s="23" t="str">
        <f aca="false">'Base Despesas'!B77</f>
        <v>Licenças / Ferramentas</v>
      </c>
      <c r="D136" s="23" t="str">
        <f aca="false">'Base Despesas'!C77</f>
        <v>Adobe</v>
      </c>
      <c r="E136" s="24" t="n">
        <f aca="false">'Base Despesas'!D77</f>
        <v>275</v>
      </c>
      <c r="F136" s="23" t="n">
        <f aca="false">'Base Despesas'!F77</f>
        <v>0</v>
      </c>
      <c r="G136" s="23" t="n">
        <f aca="false">'Base Despesas'!G77</f>
        <v>0</v>
      </c>
      <c r="H136" s="23" t="n">
        <f aca="false">'Base Despesas'!E77</f>
        <v>0</v>
      </c>
      <c r="I136" s="23" t="n">
        <f aca="false">'Base Despesas'!I77</f>
        <v>0</v>
      </c>
      <c r="J136" s="23" t="n">
        <f aca="false">'Base Despesas'!H77</f>
        <v>0</v>
      </c>
    </row>
    <row r="137" customFormat="false" ht="15" hidden="false" customHeight="false" outlineLevel="0" collapsed="false">
      <c r="A137" s="23" t="s">
        <v>17</v>
      </c>
      <c r="B137" s="23" t="str">
        <f aca="false">'Base Despesas'!A78</f>
        <v>Janeiro</v>
      </c>
      <c r="C137" s="23" t="str">
        <f aca="false">'Base Despesas'!B78</f>
        <v>Licenças / Ferramentas</v>
      </c>
      <c r="D137" s="23" t="str">
        <f aca="false">'Base Despesas'!C78</f>
        <v>Apple bill</v>
      </c>
      <c r="E137" s="24" t="n">
        <f aca="false">'Base Despesas'!D78</f>
        <v>73.8</v>
      </c>
      <c r="F137" s="23" t="n">
        <f aca="false">'Base Despesas'!F78</f>
        <v>0</v>
      </c>
      <c r="G137" s="23" t="n">
        <f aca="false">'Base Despesas'!G78</f>
        <v>0</v>
      </c>
      <c r="H137" s="23" t="n">
        <f aca="false">'Base Despesas'!E78</f>
        <v>0</v>
      </c>
      <c r="I137" s="23" t="n">
        <f aca="false">'Base Despesas'!I78</f>
        <v>0</v>
      </c>
      <c r="J137" s="23" t="n">
        <f aca="false">'Base Despesas'!H78</f>
        <v>0</v>
      </c>
    </row>
    <row r="138" customFormat="false" ht="15" hidden="false" customHeight="false" outlineLevel="0" collapsed="false">
      <c r="A138" s="23" t="s">
        <v>17</v>
      </c>
      <c r="B138" s="23" t="str">
        <f aca="false">'Base Despesas'!A79</f>
        <v>Fevereiro</v>
      </c>
      <c r="C138" s="23" t="str">
        <f aca="false">'Base Despesas'!B79</f>
        <v>Licenças / Ferramentas</v>
      </c>
      <c r="D138" s="23" t="str">
        <f aca="false">'Base Despesas'!C79</f>
        <v>Apple bill</v>
      </c>
      <c r="E138" s="24" t="n">
        <f aca="false">'Base Despesas'!D79</f>
        <v>73.8</v>
      </c>
      <c r="F138" s="23" t="n">
        <f aca="false">'Base Despesas'!F79</f>
        <v>0</v>
      </c>
      <c r="G138" s="23" t="n">
        <f aca="false">'Base Despesas'!G79</f>
        <v>0</v>
      </c>
      <c r="H138" s="23" t="n">
        <f aca="false">'Base Despesas'!E79</f>
        <v>0</v>
      </c>
      <c r="I138" s="23" t="n">
        <f aca="false">'Base Despesas'!I79</f>
        <v>0</v>
      </c>
      <c r="J138" s="23" t="n">
        <f aca="false">'Base Despesas'!H79</f>
        <v>0</v>
      </c>
    </row>
    <row r="139" customFormat="false" ht="15" hidden="false" customHeight="false" outlineLevel="0" collapsed="false">
      <c r="A139" s="23" t="s">
        <v>17</v>
      </c>
      <c r="B139" s="23" t="str">
        <f aca="false">'Base Despesas'!A80</f>
        <v>Março</v>
      </c>
      <c r="C139" s="23" t="str">
        <f aca="false">'Base Despesas'!B80</f>
        <v>Licenças / Ferramentas</v>
      </c>
      <c r="D139" s="23" t="str">
        <f aca="false">'Base Despesas'!C80</f>
        <v>Apple bill</v>
      </c>
      <c r="E139" s="24" t="n">
        <f aca="false">'Base Despesas'!D80</f>
        <v>73.8</v>
      </c>
      <c r="F139" s="23" t="n">
        <f aca="false">'Base Despesas'!F80</f>
        <v>0</v>
      </c>
      <c r="G139" s="23" t="n">
        <f aca="false">'Base Despesas'!G80</f>
        <v>0</v>
      </c>
      <c r="H139" s="23" t="n">
        <f aca="false">'Base Despesas'!E80</f>
        <v>0</v>
      </c>
      <c r="I139" s="23" t="n">
        <f aca="false">'Base Despesas'!I80</f>
        <v>0</v>
      </c>
      <c r="J139" s="23" t="n">
        <f aca="false">'Base Despesas'!H80</f>
        <v>0</v>
      </c>
    </row>
    <row r="140" customFormat="false" ht="15" hidden="false" customHeight="false" outlineLevel="0" collapsed="false">
      <c r="A140" s="23" t="s">
        <v>17</v>
      </c>
      <c r="B140" s="23" t="str">
        <f aca="false">'Base Despesas'!A81</f>
        <v>Abril</v>
      </c>
      <c r="C140" s="23" t="str">
        <f aca="false">'Base Despesas'!B81</f>
        <v>Licenças / Ferramentas</v>
      </c>
      <c r="D140" s="23" t="str">
        <f aca="false">'Base Despesas'!C81</f>
        <v>Apple bill</v>
      </c>
      <c r="E140" s="24" t="n">
        <f aca="false">'Base Despesas'!D81</f>
        <v>73.8</v>
      </c>
      <c r="F140" s="23" t="n">
        <f aca="false">'Base Despesas'!F81</f>
        <v>0</v>
      </c>
      <c r="G140" s="23" t="n">
        <f aca="false">'Base Despesas'!G81</f>
        <v>0</v>
      </c>
      <c r="H140" s="23" t="n">
        <f aca="false">'Base Despesas'!E81</f>
        <v>0</v>
      </c>
      <c r="I140" s="23" t="n">
        <f aca="false">'Base Despesas'!I81</f>
        <v>0</v>
      </c>
      <c r="J140" s="23" t="n">
        <f aca="false">'Base Despesas'!H81</f>
        <v>0</v>
      </c>
    </row>
    <row r="141" customFormat="false" ht="15" hidden="false" customHeight="false" outlineLevel="0" collapsed="false">
      <c r="A141" s="23" t="s">
        <v>17</v>
      </c>
      <c r="B141" s="23" t="str">
        <f aca="false">'Base Despesas'!A82</f>
        <v>Maio</v>
      </c>
      <c r="C141" s="23" t="str">
        <f aca="false">'Base Despesas'!B82</f>
        <v>Licenças / Ferramentas</v>
      </c>
      <c r="D141" s="23" t="str">
        <f aca="false">'Base Despesas'!C82</f>
        <v>Apple bill</v>
      </c>
      <c r="E141" s="24" t="n">
        <f aca="false">'Base Despesas'!D82</f>
        <v>73.8</v>
      </c>
      <c r="F141" s="23" t="n">
        <f aca="false">'Base Despesas'!F82</f>
        <v>0</v>
      </c>
      <c r="G141" s="23" t="n">
        <f aca="false">'Base Despesas'!G82</f>
        <v>0</v>
      </c>
      <c r="H141" s="23" t="n">
        <f aca="false">'Base Despesas'!E82</f>
        <v>0</v>
      </c>
      <c r="I141" s="23" t="n">
        <f aca="false">'Base Despesas'!I82</f>
        <v>0</v>
      </c>
      <c r="J141" s="23" t="n">
        <f aca="false">'Base Despesas'!H82</f>
        <v>0</v>
      </c>
    </row>
    <row r="142" customFormat="false" ht="15" hidden="false" customHeight="false" outlineLevel="0" collapsed="false">
      <c r="A142" s="23" t="s">
        <v>17</v>
      </c>
      <c r="B142" s="23" t="str">
        <f aca="false">'Base Despesas'!A83</f>
        <v>Janeiro</v>
      </c>
      <c r="C142" s="23" t="str">
        <f aca="false">'Base Despesas'!B83</f>
        <v>Licenças / Ferramentas</v>
      </c>
      <c r="D142" s="23" t="str">
        <f aca="false">'Base Despesas'!C83</f>
        <v>Dropbox</v>
      </c>
      <c r="E142" s="24" t="n">
        <f aca="false">'Base Despesas'!D83</f>
        <v>59</v>
      </c>
      <c r="F142" s="23" t="n">
        <f aca="false">'Base Despesas'!F83</f>
        <v>0</v>
      </c>
      <c r="G142" s="23" t="n">
        <f aca="false">'Base Despesas'!G83</f>
        <v>0</v>
      </c>
      <c r="H142" s="23" t="n">
        <f aca="false">'Base Despesas'!E83</f>
        <v>0</v>
      </c>
      <c r="I142" s="23" t="n">
        <f aca="false">'Base Despesas'!I83</f>
        <v>0</v>
      </c>
      <c r="J142" s="23" t="n">
        <f aca="false">'Base Despesas'!H83</f>
        <v>0</v>
      </c>
    </row>
    <row r="143" customFormat="false" ht="15" hidden="false" customHeight="false" outlineLevel="0" collapsed="false">
      <c r="A143" s="23" t="s">
        <v>17</v>
      </c>
      <c r="B143" s="23" t="str">
        <f aca="false">'Base Despesas'!A84</f>
        <v>Fevereiro</v>
      </c>
      <c r="C143" s="23" t="str">
        <f aca="false">'Base Despesas'!B84</f>
        <v>Licenças / Ferramentas</v>
      </c>
      <c r="D143" s="23" t="str">
        <f aca="false">'Base Despesas'!C84</f>
        <v>Dropbox</v>
      </c>
      <c r="E143" s="24" t="n">
        <f aca="false">'Base Despesas'!D84</f>
        <v>59</v>
      </c>
      <c r="F143" s="23" t="n">
        <f aca="false">'Base Despesas'!F84</f>
        <v>0</v>
      </c>
      <c r="G143" s="23" t="n">
        <f aca="false">'Base Despesas'!G84</f>
        <v>0</v>
      </c>
      <c r="H143" s="23" t="n">
        <f aca="false">'Base Despesas'!E84</f>
        <v>0</v>
      </c>
      <c r="I143" s="23" t="n">
        <f aca="false">'Base Despesas'!I84</f>
        <v>0</v>
      </c>
      <c r="J143" s="23" t="n">
        <f aca="false">'Base Despesas'!H84</f>
        <v>0</v>
      </c>
    </row>
    <row r="144" customFormat="false" ht="15" hidden="false" customHeight="false" outlineLevel="0" collapsed="false">
      <c r="A144" s="23" t="s">
        <v>17</v>
      </c>
      <c r="B144" s="23" t="str">
        <f aca="false">'Base Despesas'!A85</f>
        <v>Março</v>
      </c>
      <c r="C144" s="23" t="str">
        <f aca="false">'Base Despesas'!B85</f>
        <v>Licenças / Ferramentas</v>
      </c>
      <c r="D144" s="23" t="str">
        <f aca="false">'Base Despesas'!C85</f>
        <v>Dropbox</v>
      </c>
      <c r="E144" s="24" t="n">
        <f aca="false">'Base Despesas'!D85</f>
        <v>59</v>
      </c>
      <c r="F144" s="23" t="n">
        <f aca="false">'Base Despesas'!F85</f>
        <v>0</v>
      </c>
      <c r="G144" s="23" t="n">
        <f aca="false">'Base Despesas'!G85</f>
        <v>0</v>
      </c>
      <c r="H144" s="23" t="n">
        <f aca="false">'Base Despesas'!E85</f>
        <v>0</v>
      </c>
      <c r="I144" s="23" t="n">
        <f aca="false">'Base Despesas'!I85</f>
        <v>0</v>
      </c>
      <c r="J144" s="23" t="n">
        <f aca="false">'Base Despesas'!H85</f>
        <v>0</v>
      </c>
    </row>
    <row r="145" customFormat="false" ht="15" hidden="false" customHeight="false" outlineLevel="0" collapsed="false">
      <c r="A145" s="23" t="s">
        <v>17</v>
      </c>
      <c r="B145" s="23" t="str">
        <f aca="false">'Base Despesas'!A86</f>
        <v>Abril</v>
      </c>
      <c r="C145" s="23" t="str">
        <f aca="false">'Base Despesas'!B86</f>
        <v>Licenças / Ferramentas</v>
      </c>
      <c r="D145" s="23" t="str">
        <f aca="false">'Base Despesas'!C86</f>
        <v>Dropbox</v>
      </c>
      <c r="E145" s="24" t="n">
        <f aca="false">'Base Despesas'!D86</f>
        <v>59</v>
      </c>
      <c r="F145" s="23" t="n">
        <f aca="false">'Base Despesas'!F86</f>
        <v>0</v>
      </c>
      <c r="G145" s="23" t="n">
        <f aca="false">'Base Despesas'!G86</f>
        <v>0</v>
      </c>
      <c r="H145" s="23" t="n">
        <f aca="false">'Base Despesas'!E86</f>
        <v>0</v>
      </c>
      <c r="I145" s="23" t="n">
        <f aca="false">'Base Despesas'!I86</f>
        <v>0</v>
      </c>
      <c r="J145" s="23" t="n">
        <f aca="false">'Base Despesas'!H86</f>
        <v>0</v>
      </c>
    </row>
    <row r="146" customFormat="false" ht="15" hidden="false" customHeight="false" outlineLevel="0" collapsed="false">
      <c r="A146" s="23" t="s">
        <v>17</v>
      </c>
      <c r="B146" s="23" t="str">
        <f aca="false">'Base Despesas'!A87</f>
        <v>Maio</v>
      </c>
      <c r="C146" s="23" t="str">
        <f aca="false">'Base Despesas'!B87</f>
        <v>Licenças / Ferramentas</v>
      </c>
      <c r="D146" s="23" t="str">
        <f aca="false">'Base Despesas'!C87</f>
        <v>Dropbox</v>
      </c>
      <c r="E146" s="24" t="n">
        <f aca="false">'Base Despesas'!D87</f>
        <v>59</v>
      </c>
      <c r="F146" s="23" t="n">
        <f aca="false">'Base Despesas'!F87</f>
        <v>0</v>
      </c>
      <c r="G146" s="23" t="n">
        <f aca="false">'Base Despesas'!G87</f>
        <v>0</v>
      </c>
      <c r="H146" s="23" t="n">
        <f aca="false">'Base Despesas'!E87</f>
        <v>0</v>
      </c>
      <c r="I146" s="23" t="n">
        <f aca="false">'Base Despesas'!I87</f>
        <v>0</v>
      </c>
      <c r="J146" s="23" t="n">
        <f aca="false">'Base Despesas'!H87</f>
        <v>0</v>
      </c>
    </row>
    <row r="147" customFormat="false" ht="15" hidden="false" customHeight="false" outlineLevel="0" collapsed="false">
      <c r="A147" s="23" t="s">
        <v>17</v>
      </c>
      <c r="B147" s="23" t="str">
        <f aca="false">'Base Despesas'!A88</f>
        <v>Janeiro</v>
      </c>
      <c r="C147" s="23" t="str">
        <f aca="false">'Base Despesas'!B88</f>
        <v>Licenças / Ferramentas</v>
      </c>
      <c r="D147" s="23" t="str">
        <f aca="false">'Base Despesas'!C88</f>
        <v>Elfsight</v>
      </c>
      <c r="E147" s="24" t="n">
        <f aca="false">'Base Despesas'!D88</f>
        <v>142.24</v>
      </c>
      <c r="F147" s="23" t="n">
        <f aca="false">'Base Despesas'!F88</f>
        <v>0</v>
      </c>
      <c r="G147" s="23" t="n">
        <f aca="false">'Base Despesas'!G88</f>
        <v>0</v>
      </c>
      <c r="H147" s="23" t="n">
        <f aca="false">'Base Despesas'!E88</f>
        <v>0</v>
      </c>
      <c r="I147" s="23" t="n">
        <f aca="false">'Base Despesas'!I88</f>
        <v>0</v>
      </c>
      <c r="J147" s="23" t="n">
        <f aca="false">'Base Despesas'!H88</f>
        <v>0</v>
      </c>
    </row>
    <row r="148" customFormat="false" ht="15" hidden="false" customHeight="false" outlineLevel="0" collapsed="false">
      <c r="A148" s="23" t="s">
        <v>17</v>
      </c>
      <c r="B148" s="23" t="str">
        <f aca="false">'Base Despesas'!A89</f>
        <v>Fevereiro</v>
      </c>
      <c r="C148" s="23" t="str">
        <f aca="false">'Base Despesas'!B89</f>
        <v>Licenças / Ferramentas</v>
      </c>
      <c r="D148" s="23" t="str">
        <f aca="false">'Base Despesas'!C89</f>
        <v>Elfsight</v>
      </c>
      <c r="E148" s="24" t="n">
        <f aca="false">'Base Despesas'!D89</f>
        <v>142.24</v>
      </c>
      <c r="F148" s="23" t="n">
        <f aca="false">'Base Despesas'!F89</f>
        <v>0</v>
      </c>
      <c r="G148" s="23" t="n">
        <f aca="false">'Base Despesas'!G89</f>
        <v>0</v>
      </c>
      <c r="H148" s="23" t="n">
        <f aca="false">'Base Despesas'!E89</f>
        <v>0</v>
      </c>
      <c r="I148" s="23" t="n">
        <f aca="false">'Base Despesas'!I89</f>
        <v>0</v>
      </c>
      <c r="J148" s="23" t="n">
        <f aca="false">'Base Despesas'!H89</f>
        <v>0</v>
      </c>
    </row>
    <row r="149" customFormat="false" ht="15" hidden="false" customHeight="false" outlineLevel="0" collapsed="false">
      <c r="A149" s="23" t="s">
        <v>17</v>
      </c>
      <c r="B149" s="23" t="str">
        <f aca="false">'Base Despesas'!A90</f>
        <v>Março</v>
      </c>
      <c r="C149" s="23" t="str">
        <f aca="false">'Base Despesas'!B90</f>
        <v>Licenças / Ferramentas</v>
      </c>
      <c r="D149" s="23" t="str">
        <f aca="false">'Base Despesas'!C90</f>
        <v>Elfsight</v>
      </c>
      <c r="E149" s="24" t="n">
        <f aca="false">'Base Despesas'!D90</f>
        <v>142.24</v>
      </c>
      <c r="F149" s="23" t="n">
        <f aca="false">'Base Despesas'!F90</f>
        <v>0</v>
      </c>
      <c r="G149" s="23" t="n">
        <f aca="false">'Base Despesas'!G90</f>
        <v>0</v>
      </c>
      <c r="H149" s="23" t="n">
        <f aca="false">'Base Despesas'!E90</f>
        <v>0</v>
      </c>
      <c r="I149" s="23" t="n">
        <f aca="false">'Base Despesas'!I90</f>
        <v>0</v>
      </c>
      <c r="J149" s="23" t="n">
        <f aca="false">'Base Despesas'!H90</f>
        <v>0</v>
      </c>
    </row>
    <row r="150" customFormat="false" ht="15" hidden="false" customHeight="false" outlineLevel="0" collapsed="false">
      <c r="A150" s="23" t="s">
        <v>17</v>
      </c>
      <c r="B150" s="23" t="str">
        <f aca="false">'Base Despesas'!A91</f>
        <v>Abril</v>
      </c>
      <c r="C150" s="23" t="str">
        <f aca="false">'Base Despesas'!B91</f>
        <v>Licenças / Ferramentas</v>
      </c>
      <c r="D150" s="23" t="str">
        <f aca="false">'Base Despesas'!C91</f>
        <v>Elfsight</v>
      </c>
      <c r="E150" s="24" t="n">
        <f aca="false">'Base Despesas'!D91</f>
        <v>142.24</v>
      </c>
      <c r="F150" s="23" t="n">
        <f aca="false">'Base Despesas'!F91</f>
        <v>0</v>
      </c>
      <c r="G150" s="23" t="n">
        <f aca="false">'Base Despesas'!G91</f>
        <v>0</v>
      </c>
      <c r="H150" s="23" t="n">
        <f aca="false">'Base Despesas'!E91</f>
        <v>0</v>
      </c>
      <c r="I150" s="23" t="n">
        <f aca="false">'Base Despesas'!I91</f>
        <v>0</v>
      </c>
      <c r="J150" s="23" t="n">
        <f aca="false">'Base Despesas'!H91</f>
        <v>0</v>
      </c>
    </row>
    <row r="151" customFormat="false" ht="15" hidden="false" customHeight="false" outlineLevel="0" collapsed="false">
      <c r="A151" s="23" t="s">
        <v>17</v>
      </c>
      <c r="B151" s="23" t="str">
        <f aca="false">'Base Despesas'!A92</f>
        <v>Maio</v>
      </c>
      <c r="C151" s="23" t="str">
        <f aca="false">'Base Despesas'!B92</f>
        <v>Licenças / Ferramentas</v>
      </c>
      <c r="D151" s="23" t="str">
        <f aca="false">'Base Despesas'!C92</f>
        <v>Elfsight</v>
      </c>
      <c r="E151" s="24" t="n">
        <f aca="false">'Base Despesas'!D92</f>
        <v>142.24</v>
      </c>
      <c r="F151" s="23" t="n">
        <f aca="false">'Base Despesas'!F92</f>
        <v>0</v>
      </c>
      <c r="G151" s="23" t="n">
        <f aca="false">'Base Despesas'!G92</f>
        <v>0</v>
      </c>
      <c r="H151" s="23" t="n">
        <f aca="false">'Base Despesas'!E92</f>
        <v>0</v>
      </c>
      <c r="I151" s="23" t="n">
        <f aca="false">'Base Despesas'!I92</f>
        <v>0</v>
      </c>
      <c r="J151" s="23" t="n">
        <f aca="false">'Base Despesas'!H92</f>
        <v>0</v>
      </c>
    </row>
    <row r="152" customFormat="false" ht="15" hidden="false" customHeight="false" outlineLevel="0" collapsed="false">
      <c r="A152" s="23" t="s">
        <v>17</v>
      </c>
      <c r="B152" s="23" t="str">
        <f aca="false">'Base Despesas'!A93</f>
        <v>Janeiro</v>
      </c>
      <c r="C152" s="23" t="str">
        <f aca="false">'Base Despesas'!B93</f>
        <v>Licenças / Ferramentas</v>
      </c>
      <c r="D152" s="23" t="str">
        <f aca="false">'Base Despesas'!C93</f>
        <v>Monday</v>
      </c>
      <c r="E152" s="24" t="n">
        <f aca="false">'Base Despesas'!D93</f>
        <v>1000</v>
      </c>
      <c r="F152" s="23" t="n">
        <f aca="false">'Base Despesas'!F93</f>
        <v>0</v>
      </c>
      <c r="G152" s="23" t="n">
        <f aca="false">'Base Despesas'!G93</f>
        <v>0</v>
      </c>
      <c r="H152" s="23" t="n">
        <f aca="false">'Base Despesas'!E93</f>
        <v>0</v>
      </c>
      <c r="I152" s="23" t="n">
        <f aca="false">'Base Despesas'!I93</f>
        <v>0</v>
      </c>
      <c r="J152" s="23" t="n">
        <f aca="false">'Base Despesas'!H93</f>
        <v>0</v>
      </c>
    </row>
    <row r="153" customFormat="false" ht="15" hidden="false" customHeight="false" outlineLevel="0" collapsed="false">
      <c r="A153" s="23" t="s">
        <v>17</v>
      </c>
      <c r="B153" s="23" t="str">
        <f aca="false">'Base Despesas'!A94</f>
        <v>Fevereiro</v>
      </c>
      <c r="C153" s="23" t="str">
        <f aca="false">'Base Despesas'!B94</f>
        <v>Licenças / Ferramentas</v>
      </c>
      <c r="D153" s="23" t="str">
        <f aca="false">'Base Despesas'!C94</f>
        <v>Monday</v>
      </c>
      <c r="E153" s="24" t="n">
        <f aca="false">'Base Despesas'!D94</f>
        <v>1000</v>
      </c>
      <c r="F153" s="23" t="n">
        <f aca="false">'Base Despesas'!F94</f>
        <v>0</v>
      </c>
      <c r="G153" s="23" t="n">
        <f aca="false">'Base Despesas'!G94</f>
        <v>0</v>
      </c>
      <c r="H153" s="23" t="n">
        <f aca="false">'Base Despesas'!E94</f>
        <v>0</v>
      </c>
      <c r="I153" s="23" t="n">
        <f aca="false">'Base Despesas'!I94</f>
        <v>0</v>
      </c>
      <c r="J153" s="23" t="n">
        <f aca="false">'Base Despesas'!H94</f>
        <v>0</v>
      </c>
    </row>
    <row r="154" customFormat="false" ht="15" hidden="false" customHeight="false" outlineLevel="0" collapsed="false">
      <c r="A154" s="23" t="s">
        <v>17</v>
      </c>
      <c r="B154" s="23" t="str">
        <f aca="false">'Base Despesas'!A95</f>
        <v>Março</v>
      </c>
      <c r="C154" s="23" t="str">
        <f aca="false">'Base Despesas'!B95</f>
        <v>Licenças / Ferramentas</v>
      </c>
      <c r="D154" s="23" t="str">
        <f aca="false">'Base Despesas'!C95</f>
        <v>Monday</v>
      </c>
      <c r="E154" s="24" t="n">
        <f aca="false">'Base Despesas'!D95</f>
        <v>1000</v>
      </c>
      <c r="F154" s="23" t="n">
        <f aca="false">'Base Despesas'!F95</f>
        <v>0</v>
      </c>
      <c r="G154" s="23" t="n">
        <f aca="false">'Base Despesas'!G95</f>
        <v>0</v>
      </c>
      <c r="H154" s="23" t="n">
        <f aca="false">'Base Despesas'!E95</f>
        <v>0</v>
      </c>
      <c r="I154" s="23" t="n">
        <f aca="false">'Base Despesas'!I95</f>
        <v>0</v>
      </c>
      <c r="J154" s="23" t="n">
        <f aca="false">'Base Despesas'!H95</f>
        <v>0</v>
      </c>
    </row>
    <row r="155" customFormat="false" ht="15" hidden="false" customHeight="false" outlineLevel="0" collapsed="false">
      <c r="A155" s="23" t="s">
        <v>17</v>
      </c>
      <c r="B155" s="23" t="str">
        <f aca="false">'Base Despesas'!A96</f>
        <v>Abril</v>
      </c>
      <c r="C155" s="23" t="str">
        <f aca="false">'Base Despesas'!B96</f>
        <v>Licenças / Ferramentas</v>
      </c>
      <c r="D155" s="23" t="str">
        <f aca="false">'Base Despesas'!C96</f>
        <v>Monday</v>
      </c>
      <c r="E155" s="24" t="n">
        <f aca="false">'Base Despesas'!D96</f>
        <v>1000</v>
      </c>
      <c r="F155" s="23" t="n">
        <f aca="false">'Base Despesas'!F96</f>
        <v>0</v>
      </c>
      <c r="G155" s="23" t="n">
        <f aca="false">'Base Despesas'!G96</f>
        <v>0</v>
      </c>
      <c r="H155" s="23" t="n">
        <f aca="false">'Base Despesas'!E96</f>
        <v>0</v>
      </c>
      <c r="I155" s="23" t="n">
        <f aca="false">'Base Despesas'!I96</f>
        <v>0</v>
      </c>
      <c r="J155" s="23" t="n">
        <f aca="false">'Base Despesas'!H96</f>
        <v>0</v>
      </c>
    </row>
    <row r="156" customFormat="false" ht="15" hidden="false" customHeight="false" outlineLevel="0" collapsed="false">
      <c r="A156" s="23" t="s">
        <v>17</v>
      </c>
      <c r="B156" s="23" t="str">
        <f aca="false">'Base Despesas'!A97</f>
        <v>Maio</v>
      </c>
      <c r="C156" s="23" t="str">
        <f aca="false">'Base Despesas'!B97</f>
        <v>Licenças / Ferramentas</v>
      </c>
      <c r="D156" s="23" t="str">
        <f aca="false">'Base Despesas'!C97</f>
        <v>Monday</v>
      </c>
      <c r="E156" s="24" t="n">
        <f aca="false">'Base Despesas'!D97</f>
        <v>1000</v>
      </c>
      <c r="F156" s="23" t="n">
        <f aca="false">'Base Despesas'!F97</f>
        <v>0</v>
      </c>
      <c r="G156" s="23" t="n">
        <f aca="false">'Base Despesas'!G97</f>
        <v>0</v>
      </c>
      <c r="H156" s="23" t="n">
        <f aca="false">'Base Despesas'!E97</f>
        <v>0</v>
      </c>
      <c r="I156" s="23" t="n">
        <f aca="false">'Base Despesas'!I97</f>
        <v>0</v>
      </c>
      <c r="J156" s="23" t="n">
        <f aca="false">'Base Despesas'!H97</f>
        <v>0</v>
      </c>
    </row>
    <row r="157" customFormat="false" ht="15" hidden="false" customHeight="false" outlineLevel="0" collapsed="false">
      <c r="A157" s="23" t="s">
        <v>17</v>
      </c>
      <c r="B157" s="23" t="str">
        <f aca="false">'Base Despesas'!A98</f>
        <v>Janeiro</v>
      </c>
      <c r="C157" s="23" t="str">
        <f aca="false">'Base Despesas'!B98</f>
        <v>Licenças / Ferramentas</v>
      </c>
      <c r="D157" s="23" t="str">
        <f aca="false">'Base Despesas'!C98</f>
        <v>Canva</v>
      </c>
      <c r="E157" s="24" t="n">
        <f aca="false">'Base Despesas'!D98</f>
        <v>44.99</v>
      </c>
      <c r="F157" s="23" t="n">
        <f aca="false">'Base Despesas'!F98</f>
        <v>0</v>
      </c>
      <c r="G157" s="23" t="n">
        <f aca="false">'Base Despesas'!G98</f>
        <v>0</v>
      </c>
      <c r="H157" s="23" t="n">
        <f aca="false">'Base Despesas'!E98</f>
        <v>0</v>
      </c>
      <c r="I157" s="23" t="n">
        <f aca="false">'Base Despesas'!I98</f>
        <v>0</v>
      </c>
      <c r="J157" s="23" t="n">
        <f aca="false">'Base Despesas'!H98</f>
        <v>0</v>
      </c>
    </row>
    <row r="158" customFormat="false" ht="15" hidden="false" customHeight="false" outlineLevel="0" collapsed="false">
      <c r="A158" s="23" t="s">
        <v>17</v>
      </c>
      <c r="B158" s="23" t="str">
        <f aca="false">'Base Despesas'!A99</f>
        <v>Fevereiro</v>
      </c>
      <c r="C158" s="23" t="str">
        <f aca="false">'Base Despesas'!B99</f>
        <v>Licenças / Ferramentas</v>
      </c>
      <c r="D158" s="23" t="str">
        <f aca="false">'Base Despesas'!C99</f>
        <v>Canva</v>
      </c>
      <c r="E158" s="24" t="n">
        <f aca="false">'Base Despesas'!D99</f>
        <v>44.99</v>
      </c>
      <c r="F158" s="23" t="n">
        <f aca="false">'Base Despesas'!F99</f>
        <v>0</v>
      </c>
      <c r="G158" s="23" t="n">
        <f aca="false">'Base Despesas'!G99</f>
        <v>0</v>
      </c>
      <c r="H158" s="23" t="n">
        <f aca="false">'Base Despesas'!E99</f>
        <v>0</v>
      </c>
      <c r="I158" s="23" t="n">
        <f aca="false">'Base Despesas'!I99</f>
        <v>0</v>
      </c>
      <c r="J158" s="23" t="n">
        <f aca="false">'Base Despesas'!H99</f>
        <v>0</v>
      </c>
    </row>
    <row r="159" customFormat="false" ht="15" hidden="false" customHeight="false" outlineLevel="0" collapsed="false">
      <c r="A159" s="23" t="s">
        <v>17</v>
      </c>
      <c r="B159" s="23" t="str">
        <f aca="false">'Base Despesas'!A100</f>
        <v>Março</v>
      </c>
      <c r="C159" s="23" t="str">
        <f aca="false">'Base Despesas'!B100</f>
        <v>Licenças / Ferramentas</v>
      </c>
      <c r="D159" s="23" t="str">
        <f aca="false">'Base Despesas'!C100</f>
        <v>Canva</v>
      </c>
      <c r="E159" s="24" t="n">
        <f aca="false">'Base Despesas'!D100</f>
        <v>44.99</v>
      </c>
      <c r="F159" s="23" t="n">
        <f aca="false">'Base Despesas'!F100</f>
        <v>0</v>
      </c>
      <c r="G159" s="23" t="n">
        <f aca="false">'Base Despesas'!G100</f>
        <v>0</v>
      </c>
      <c r="H159" s="23" t="n">
        <f aca="false">'Base Despesas'!E100</f>
        <v>0</v>
      </c>
      <c r="I159" s="23" t="n">
        <f aca="false">'Base Despesas'!I100</f>
        <v>0</v>
      </c>
      <c r="J159" s="23" t="n">
        <f aca="false">'Base Despesas'!H100</f>
        <v>0</v>
      </c>
    </row>
    <row r="160" customFormat="false" ht="15" hidden="false" customHeight="false" outlineLevel="0" collapsed="false">
      <c r="A160" s="23" t="s">
        <v>17</v>
      </c>
      <c r="B160" s="23" t="str">
        <f aca="false">'Base Despesas'!A101</f>
        <v>Abril</v>
      </c>
      <c r="C160" s="23" t="str">
        <f aca="false">'Base Despesas'!B101</f>
        <v>Licenças / Ferramentas</v>
      </c>
      <c r="D160" s="23" t="str">
        <f aca="false">'Base Despesas'!C101</f>
        <v>Canva</v>
      </c>
      <c r="E160" s="24" t="n">
        <f aca="false">'Base Despesas'!D101</f>
        <v>44.99</v>
      </c>
      <c r="F160" s="23" t="n">
        <f aca="false">'Base Despesas'!F101</f>
        <v>0</v>
      </c>
      <c r="G160" s="23" t="n">
        <f aca="false">'Base Despesas'!G101</f>
        <v>0</v>
      </c>
      <c r="H160" s="23" t="n">
        <f aca="false">'Base Despesas'!E101</f>
        <v>0</v>
      </c>
      <c r="I160" s="23" t="n">
        <f aca="false">'Base Despesas'!I101</f>
        <v>0</v>
      </c>
      <c r="J160" s="23" t="n">
        <f aca="false">'Base Despesas'!H101</f>
        <v>0</v>
      </c>
    </row>
    <row r="161" customFormat="false" ht="15" hidden="false" customHeight="false" outlineLevel="0" collapsed="false">
      <c r="A161" s="23" t="s">
        <v>17</v>
      </c>
      <c r="B161" s="23" t="str">
        <f aca="false">'Base Despesas'!A102</f>
        <v>Maio</v>
      </c>
      <c r="C161" s="23" t="str">
        <f aca="false">'Base Despesas'!B102</f>
        <v>Licenças / Ferramentas</v>
      </c>
      <c r="D161" s="23" t="str">
        <f aca="false">'Base Despesas'!C102</f>
        <v>Canva</v>
      </c>
      <c r="E161" s="24" t="n">
        <f aca="false">'Base Despesas'!D102</f>
        <v>44.99</v>
      </c>
      <c r="F161" s="23" t="n">
        <f aca="false">'Base Despesas'!F102</f>
        <v>0</v>
      </c>
      <c r="G161" s="23" t="n">
        <f aca="false">'Base Despesas'!G102</f>
        <v>0</v>
      </c>
      <c r="H161" s="23" t="n">
        <f aca="false">'Base Despesas'!E102</f>
        <v>0</v>
      </c>
      <c r="I161" s="23" t="n">
        <f aca="false">'Base Despesas'!I102</f>
        <v>0</v>
      </c>
      <c r="J161" s="23" t="n">
        <f aca="false">'Base Despesas'!H102</f>
        <v>0</v>
      </c>
    </row>
    <row r="162" customFormat="false" ht="15" hidden="false" customHeight="false" outlineLevel="0" collapsed="false">
      <c r="A162" s="23" t="s">
        <v>17</v>
      </c>
      <c r="B162" s="23" t="str">
        <f aca="false">'Base Despesas'!A103</f>
        <v>Janeiro</v>
      </c>
      <c r="C162" s="23" t="str">
        <f aca="false">'Base Despesas'!B103</f>
        <v>Licenças / Ferramentas</v>
      </c>
      <c r="D162" s="23" t="str">
        <f aca="false">'Base Despesas'!C103</f>
        <v>Chat GPT</v>
      </c>
      <c r="E162" s="24" t="n">
        <f aca="false">'Base Despesas'!D103</f>
        <v>118.17</v>
      </c>
      <c r="F162" s="23" t="n">
        <f aca="false">'Base Despesas'!F103</f>
        <v>0</v>
      </c>
      <c r="G162" s="23" t="n">
        <f aca="false">'Base Despesas'!G103</f>
        <v>0</v>
      </c>
      <c r="H162" s="23" t="n">
        <f aca="false">'Base Despesas'!E103</f>
        <v>0</v>
      </c>
      <c r="I162" s="23" t="n">
        <f aca="false">'Base Despesas'!I103</f>
        <v>0</v>
      </c>
      <c r="J162" s="23" t="n">
        <f aca="false">'Base Despesas'!H103</f>
        <v>0</v>
      </c>
    </row>
    <row r="163" customFormat="false" ht="15" hidden="false" customHeight="false" outlineLevel="0" collapsed="false">
      <c r="A163" s="23" t="s">
        <v>17</v>
      </c>
      <c r="B163" s="23" t="str">
        <f aca="false">'Base Despesas'!A104</f>
        <v>Fevereiro</v>
      </c>
      <c r="C163" s="23" t="str">
        <f aca="false">'Base Despesas'!B104</f>
        <v>Licenças / Ferramentas</v>
      </c>
      <c r="D163" s="23" t="str">
        <f aca="false">'Base Despesas'!C104</f>
        <v>Chat GPT</v>
      </c>
      <c r="E163" s="24" t="n">
        <f aca="false">'Base Despesas'!D104</f>
        <v>118.17</v>
      </c>
      <c r="F163" s="23" t="n">
        <f aca="false">'Base Despesas'!F104</f>
        <v>0</v>
      </c>
      <c r="G163" s="23" t="n">
        <f aca="false">'Base Despesas'!G104</f>
        <v>0</v>
      </c>
      <c r="H163" s="23" t="n">
        <f aca="false">'Base Despesas'!E104</f>
        <v>0</v>
      </c>
      <c r="I163" s="23" t="n">
        <f aca="false">'Base Despesas'!I104</f>
        <v>0</v>
      </c>
      <c r="J163" s="23" t="n">
        <f aca="false">'Base Despesas'!H104</f>
        <v>0</v>
      </c>
    </row>
    <row r="164" customFormat="false" ht="15" hidden="false" customHeight="false" outlineLevel="0" collapsed="false">
      <c r="A164" s="23" t="s">
        <v>17</v>
      </c>
      <c r="B164" s="23" t="str">
        <f aca="false">'Base Despesas'!A105</f>
        <v>Março</v>
      </c>
      <c r="C164" s="23" t="str">
        <f aca="false">'Base Despesas'!B105</f>
        <v>Licenças / Ferramentas</v>
      </c>
      <c r="D164" s="23" t="str">
        <f aca="false">'Base Despesas'!C105</f>
        <v>Chat GPT</v>
      </c>
      <c r="E164" s="24" t="n">
        <f aca="false">'Base Despesas'!D105</f>
        <v>118.17</v>
      </c>
      <c r="F164" s="23" t="n">
        <f aca="false">'Base Despesas'!F105</f>
        <v>0</v>
      </c>
      <c r="G164" s="23" t="n">
        <f aca="false">'Base Despesas'!G105</f>
        <v>0</v>
      </c>
      <c r="H164" s="23" t="n">
        <f aca="false">'Base Despesas'!E105</f>
        <v>0</v>
      </c>
      <c r="I164" s="23" t="n">
        <f aca="false">'Base Despesas'!I105</f>
        <v>0</v>
      </c>
      <c r="J164" s="23" t="n">
        <f aca="false">'Base Despesas'!H105</f>
        <v>0</v>
      </c>
    </row>
    <row r="165" customFormat="false" ht="15" hidden="false" customHeight="false" outlineLevel="0" collapsed="false">
      <c r="A165" s="23" t="s">
        <v>17</v>
      </c>
      <c r="B165" s="23" t="str">
        <f aca="false">'Base Despesas'!A106</f>
        <v>Abril</v>
      </c>
      <c r="C165" s="23" t="str">
        <f aca="false">'Base Despesas'!B106</f>
        <v>Licenças / Ferramentas</v>
      </c>
      <c r="D165" s="23" t="str">
        <f aca="false">'Base Despesas'!C106</f>
        <v>Chat GPT</v>
      </c>
      <c r="E165" s="24" t="n">
        <f aca="false">'Base Despesas'!D106</f>
        <v>118.17</v>
      </c>
      <c r="F165" s="23" t="n">
        <f aca="false">'Base Despesas'!F106</f>
        <v>0</v>
      </c>
      <c r="G165" s="23" t="n">
        <f aca="false">'Base Despesas'!G106</f>
        <v>0</v>
      </c>
      <c r="H165" s="23" t="n">
        <f aca="false">'Base Despesas'!E106</f>
        <v>0</v>
      </c>
      <c r="I165" s="23" t="n">
        <f aca="false">'Base Despesas'!I106</f>
        <v>0</v>
      </c>
      <c r="J165" s="23" t="n">
        <f aca="false">'Base Despesas'!H106</f>
        <v>0</v>
      </c>
    </row>
    <row r="166" customFormat="false" ht="15" hidden="false" customHeight="false" outlineLevel="0" collapsed="false">
      <c r="A166" s="23" t="s">
        <v>17</v>
      </c>
      <c r="B166" s="23" t="str">
        <f aca="false">'Base Despesas'!A107</f>
        <v>Maio</v>
      </c>
      <c r="C166" s="23" t="str">
        <f aca="false">'Base Despesas'!B107</f>
        <v>Licenças / Ferramentas</v>
      </c>
      <c r="D166" s="23" t="str">
        <f aca="false">'Base Despesas'!C107</f>
        <v>Chat GPT</v>
      </c>
      <c r="E166" s="24" t="n">
        <f aca="false">'Base Despesas'!D107</f>
        <v>118.17</v>
      </c>
      <c r="F166" s="23" t="n">
        <f aca="false">'Base Despesas'!F107</f>
        <v>0</v>
      </c>
      <c r="G166" s="23" t="n">
        <f aca="false">'Base Despesas'!G107</f>
        <v>0</v>
      </c>
      <c r="H166" s="23" t="n">
        <f aca="false">'Base Despesas'!E107</f>
        <v>0</v>
      </c>
      <c r="I166" s="23" t="n">
        <f aca="false">'Base Despesas'!I107</f>
        <v>0</v>
      </c>
      <c r="J166" s="23" t="n">
        <f aca="false">'Base Despesas'!H107</f>
        <v>0</v>
      </c>
    </row>
    <row r="167" customFormat="false" ht="15" hidden="false" customHeight="false" outlineLevel="0" collapsed="false">
      <c r="A167" s="23" t="s">
        <v>17</v>
      </c>
      <c r="B167" s="23" t="str">
        <f aca="false">'Base Despesas'!A108</f>
        <v>Janeiro</v>
      </c>
      <c r="C167" s="23" t="str">
        <f aca="false">'Base Despesas'!B108</f>
        <v>Licenças / Ferramentas</v>
      </c>
      <c r="D167" s="23" t="str">
        <f aca="false">'Base Despesas'!C108</f>
        <v>Servidor</v>
      </c>
      <c r="E167" s="24" t="n">
        <f aca="false">'Base Despesas'!D108</f>
        <v>896.87</v>
      </c>
      <c r="F167" s="23" t="str">
        <f aca="false">'Base Despesas'!F108</f>
        <v>Boleto</v>
      </c>
      <c r="G167" s="23" t="str">
        <f aca="false">'Base Despesas'!G108</f>
        <v>PAGO</v>
      </c>
      <c r="H167" s="23" t="n">
        <f aca="false">'Base Despesas'!E108</f>
        <v>0</v>
      </c>
      <c r="I167" s="23" t="n">
        <f aca="false">'Base Despesas'!I108</f>
        <v>0</v>
      </c>
      <c r="J167" s="23" t="n">
        <f aca="false">'Base Despesas'!H108</f>
        <v>0</v>
      </c>
    </row>
    <row r="168" customFormat="false" ht="15" hidden="false" customHeight="false" outlineLevel="0" collapsed="false">
      <c r="A168" s="23" t="s">
        <v>17</v>
      </c>
      <c r="B168" s="23" t="str">
        <f aca="false">'Base Despesas'!A109</f>
        <v>Fevereiro</v>
      </c>
      <c r="C168" s="23" t="str">
        <f aca="false">'Base Despesas'!B109</f>
        <v>Licenças / Ferramentas</v>
      </c>
      <c r="D168" s="23" t="str">
        <f aca="false">'Base Despesas'!C109</f>
        <v>Servidor</v>
      </c>
      <c r="E168" s="24" t="n">
        <f aca="false">'Base Despesas'!D109</f>
        <v>1162.89</v>
      </c>
      <c r="F168" s="23" t="n">
        <f aca="false">'Base Despesas'!F109</f>
        <v>0</v>
      </c>
      <c r="G168" s="23" t="str">
        <f aca="false">'Base Despesas'!G109</f>
        <v>PAGO</v>
      </c>
      <c r="H168" s="23" t="n">
        <f aca="false">'Base Despesas'!E109</f>
        <v>9</v>
      </c>
      <c r="I168" s="23" t="n">
        <f aca="false">'Base Despesas'!I109</f>
        <v>0</v>
      </c>
      <c r="J168" s="23" t="n">
        <f aca="false">'Base Despesas'!H109</f>
        <v>0</v>
      </c>
    </row>
    <row r="169" customFormat="false" ht="15" hidden="false" customHeight="false" outlineLevel="0" collapsed="false">
      <c r="A169" s="23" t="s">
        <v>17</v>
      </c>
      <c r="B169" s="23" t="str">
        <f aca="false">'Base Despesas'!A110</f>
        <v>Março</v>
      </c>
      <c r="C169" s="23" t="str">
        <f aca="false">'Base Despesas'!B110</f>
        <v>Licenças / Ferramentas</v>
      </c>
      <c r="D169" s="23" t="str">
        <f aca="false">'Base Despesas'!C110</f>
        <v>Servidor</v>
      </c>
      <c r="E169" s="24" t="n">
        <f aca="false">'Base Despesas'!D110</f>
        <v>1592.99</v>
      </c>
      <c r="F169" s="23" t="n">
        <f aca="false">'Base Despesas'!F110</f>
        <v>0</v>
      </c>
      <c r="G169" s="23" t="n">
        <f aca="false">'Base Despesas'!G110</f>
        <v>0</v>
      </c>
      <c r="H169" s="23" t="n">
        <f aca="false">'Base Despesas'!E110</f>
        <v>0</v>
      </c>
      <c r="I169" s="23" t="n">
        <f aca="false">'Base Despesas'!I110</f>
        <v>0</v>
      </c>
      <c r="J169" s="23" t="n">
        <f aca="false">'Base Despesas'!H110</f>
        <v>0</v>
      </c>
    </row>
    <row r="170" customFormat="false" ht="15" hidden="false" customHeight="false" outlineLevel="0" collapsed="false">
      <c r="A170" s="23" t="s">
        <v>17</v>
      </c>
      <c r="B170" s="23" t="str">
        <f aca="false">'Base Despesas'!A111</f>
        <v>Abril</v>
      </c>
      <c r="C170" s="23" t="str">
        <f aca="false">'Base Despesas'!B111</f>
        <v>Licenças / Ferramentas</v>
      </c>
      <c r="D170" s="23" t="str">
        <f aca="false">'Base Despesas'!C111</f>
        <v>Servidor</v>
      </c>
      <c r="E170" s="24" t="n">
        <f aca="false">'Base Despesas'!D111</f>
        <v>1592.99</v>
      </c>
      <c r="F170" s="23" t="n">
        <f aca="false">'Base Despesas'!F111</f>
        <v>0</v>
      </c>
      <c r="G170" s="23" t="n">
        <f aca="false">'Base Despesas'!G111</f>
        <v>0</v>
      </c>
      <c r="H170" s="23" t="n">
        <f aca="false">'Base Despesas'!E111</f>
        <v>0</v>
      </c>
      <c r="I170" s="23" t="n">
        <f aca="false">'Base Despesas'!I111</f>
        <v>0</v>
      </c>
      <c r="J170" s="23" t="n">
        <f aca="false">'Base Despesas'!H111</f>
        <v>0</v>
      </c>
    </row>
    <row r="171" customFormat="false" ht="15" hidden="false" customHeight="false" outlineLevel="0" collapsed="false">
      <c r="A171" s="23" t="s">
        <v>17</v>
      </c>
      <c r="B171" s="23" t="str">
        <f aca="false">'Base Despesas'!A112</f>
        <v>Maio</v>
      </c>
      <c r="C171" s="23" t="str">
        <f aca="false">'Base Despesas'!B112</f>
        <v>Licenças / Ferramentas</v>
      </c>
      <c r="D171" s="23" t="str">
        <f aca="false">'Base Despesas'!C112</f>
        <v>Servidor</v>
      </c>
      <c r="E171" s="24" t="n">
        <f aca="false">'Base Despesas'!D112</f>
        <v>1592.99</v>
      </c>
      <c r="F171" s="23" t="n">
        <f aca="false">'Base Despesas'!F112</f>
        <v>0</v>
      </c>
      <c r="G171" s="23" t="n">
        <f aca="false">'Base Despesas'!G112</f>
        <v>0</v>
      </c>
      <c r="H171" s="23" t="n">
        <f aca="false">'Base Despesas'!E112</f>
        <v>0</v>
      </c>
      <c r="I171" s="23" t="n">
        <f aca="false">'Base Despesas'!I112</f>
        <v>0</v>
      </c>
      <c r="J171" s="23" t="n">
        <f aca="false">'Base Despesas'!H112</f>
        <v>0</v>
      </c>
    </row>
    <row r="172" customFormat="false" ht="15" hidden="false" customHeight="false" outlineLevel="0" collapsed="false">
      <c r="A172" s="23" t="s">
        <v>17</v>
      </c>
      <c r="B172" s="23" t="str">
        <f aca="false">'Base Despesas'!A113</f>
        <v>Janeiro</v>
      </c>
      <c r="C172" s="23" t="str">
        <f aca="false">'Base Despesas'!B113</f>
        <v>Marketing / Publicidade</v>
      </c>
      <c r="D172" s="23" t="str">
        <f aca="false">'Base Despesas'!C113</f>
        <v>Meta Ads - Anúncio</v>
      </c>
      <c r="E172" s="24" t="n">
        <f aca="false">'Base Despesas'!D113</f>
        <v>1000</v>
      </c>
      <c r="F172" s="23" t="n">
        <f aca="false">'Base Despesas'!F113</f>
        <v>0</v>
      </c>
      <c r="G172" s="23" t="str">
        <f aca="false">'Base Despesas'!G113</f>
        <v>PAGO</v>
      </c>
      <c r="H172" s="23" t="n">
        <f aca="false">'Base Despesas'!E113</f>
        <v>0</v>
      </c>
      <c r="I172" s="23" t="n">
        <f aca="false">'Base Despesas'!I113</f>
        <v>0</v>
      </c>
      <c r="J172" s="23" t="n">
        <f aca="false">'Base Despesas'!H113</f>
        <v>0</v>
      </c>
    </row>
    <row r="173" customFormat="false" ht="15" hidden="false" customHeight="false" outlineLevel="0" collapsed="false">
      <c r="A173" s="23" t="s">
        <v>17</v>
      </c>
      <c r="B173" s="23" t="str">
        <f aca="false">'Base Despesas'!A114</f>
        <v>Fevereiro</v>
      </c>
      <c r="C173" s="23" t="str">
        <f aca="false">'Base Despesas'!B114</f>
        <v>Marketing / Publicidade</v>
      </c>
      <c r="D173" s="23" t="str">
        <f aca="false">'Base Despesas'!C114</f>
        <v>Meta Ads - Anúncio</v>
      </c>
      <c r="E173" s="24" t="n">
        <f aca="false">'Base Despesas'!D114</f>
        <v>1000</v>
      </c>
      <c r="F173" s="23" t="n">
        <f aca="false">'Base Despesas'!F114</f>
        <v>0</v>
      </c>
      <c r="G173" s="23" t="n">
        <f aca="false">'Base Despesas'!G114</f>
        <v>0</v>
      </c>
      <c r="H173" s="23" t="n">
        <f aca="false">'Base Despesas'!E114</f>
        <v>0</v>
      </c>
      <c r="I173" s="23" t="n">
        <f aca="false">'Base Despesas'!I114</f>
        <v>0</v>
      </c>
      <c r="J173" s="23" t="n">
        <f aca="false">'Base Despesas'!H114</f>
        <v>0</v>
      </c>
    </row>
    <row r="174" customFormat="false" ht="15" hidden="false" customHeight="false" outlineLevel="0" collapsed="false">
      <c r="A174" s="23" t="s">
        <v>17</v>
      </c>
      <c r="B174" s="23" t="str">
        <f aca="false">'Base Despesas'!A115</f>
        <v>Março</v>
      </c>
      <c r="C174" s="23" t="str">
        <f aca="false">'Base Despesas'!B115</f>
        <v>Marketing / Publicidade</v>
      </c>
      <c r="D174" s="23" t="str">
        <f aca="false">'Base Despesas'!C115</f>
        <v>Meta Ads - Anúncio</v>
      </c>
      <c r="E174" s="24" t="n">
        <f aca="false">'Base Despesas'!D115</f>
        <v>1000</v>
      </c>
      <c r="F174" s="23" t="n">
        <f aca="false">'Base Despesas'!F115</f>
        <v>0</v>
      </c>
      <c r="G174" s="23" t="n">
        <f aca="false">'Base Despesas'!G115</f>
        <v>0</v>
      </c>
      <c r="H174" s="23" t="n">
        <f aca="false">'Base Despesas'!E115</f>
        <v>0</v>
      </c>
      <c r="I174" s="23" t="n">
        <f aca="false">'Base Despesas'!I115</f>
        <v>0</v>
      </c>
      <c r="J174" s="23" t="n">
        <f aca="false">'Base Despesas'!H115</f>
        <v>0</v>
      </c>
    </row>
    <row r="175" customFormat="false" ht="15" hidden="false" customHeight="false" outlineLevel="0" collapsed="false">
      <c r="A175" s="23" t="s">
        <v>17</v>
      </c>
      <c r="B175" s="23" t="str">
        <f aca="false">'Base Despesas'!A116</f>
        <v>Abril</v>
      </c>
      <c r="C175" s="23" t="str">
        <f aca="false">'Base Despesas'!B116</f>
        <v>Marketing / Publicidade</v>
      </c>
      <c r="D175" s="23" t="str">
        <f aca="false">'Base Despesas'!C116</f>
        <v>Meta Ads - Anúncio</v>
      </c>
      <c r="E175" s="24" t="n">
        <f aca="false">'Base Despesas'!D116</f>
        <v>1000</v>
      </c>
      <c r="F175" s="23" t="n">
        <f aca="false">'Base Despesas'!F116</f>
        <v>0</v>
      </c>
      <c r="G175" s="23" t="n">
        <f aca="false">'Base Despesas'!G116</f>
        <v>0</v>
      </c>
      <c r="H175" s="23" t="n">
        <f aca="false">'Base Despesas'!E116</f>
        <v>0</v>
      </c>
      <c r="I175" s="23" t="n">
        <f aca="false">'Base Despesas'!I116</f>
        <v>0</v>
      </c>
      <c r="J175" s="23" t="n">
        <f aca="false">'Base Despesas'!H116</f>
        <v>0</v>
      </c>
    </row>
    <row r="176" customFormat="false" ht="15" hidden="false" customHeight="false" outlineLevel="0" collapsed="false">
      <c r="A176" s="23" t="s">
        <v>17</v>
      </c>
      <c r="B176" s="23" t="str">
        <f aca="false">'Base Despesas'!A117</f>
        <v>Maio</v>
      </c>
      <c r="C176" s="23" t="str">
        <f aca="false">'Base Despesas'!B117</f>
        <v>Marketing / Publicidade</v>
      </c>
      <c r="D176" s="23" t="str">
        <f aca="false">'Base Despesas'!C117</f>
        <v>Meta Ads - Anúncio</v>
      </c>
      <c r="E176" s="24" t="n">
        <f aca="false">'Base Despesas'!D117</f>
        <v>1000</v>
      </c>
      <c r="F176" s="23" t="n">
        <f aca="false">'Base Despesas'!F117</f>
        <v>0</v>
      </c>
      <c r="G176" s="23" t="n">
        <f aca="false">'Base Despesas'!G117</f>
        <v>0</v>
      </c>
      <c r="H176" s="23" t="n">
        <f aca="false">'Base Despesas'!E117</f>
        <v>0</v>
      </c>
      <c r="I176" s="23" t="n">
        <f aca="false">'Base Despesas'!I117</f>
        <v>0</v>
      </c>
      <c r="J176" s="23" t="n">
        <f aca="false">'Base Despesas'!H117</f>
        <v>0</v>
      </c>
    </row>
    <row r="177" customFormat="false" ht="15" hidden="false" customHeight="false" outlineLevel="0" collapsed="false">
      <c r="A177" s="23" t="s">
        <v>17</v>
      </c>
      <c r="B177" s="23" t="str">
        <f aca="false">'Base Despesas'!A118</f>
        <v>Janeiro</v>
      </c>
      <c r="C177" s="23" t="str">
        <f aca="false">'Base Despesas'!B118</f>
        <v>Marketing / Publicidade</v>
      </c>
      <c r="D177" s="23" t="str">
        <f aca="false">'Base Despesas'!C118</f>
        <v>Google Ads</v>
      </c>
      <c r="E177" s="24" t="n">
        <f aca="false">'Base Despesas'!D118</f>
        <v>2500</v>
      </c>
      <c r="F177" s="23" t="n">
        <f aca="false">'Base Despesas'!F118</f>
        <v>0</v>
      </c>
      <c r="G177" s="23" t="n">
        <f aca="false">'Base Despesas'!G118</f>
        <v>0</v>
      </c>
      <c r="H177" s="23" t="n">
        <f aca="false">'Base Despesas'!E118</f>
        <v>0</v>
      </c>
      <c r="I177" s="23" t="n">
        <f aca="false">'Base Despesas'!I118</f>
        <v>0</v>
      </c>
      <c r="J177" s="23" t="n">
        <f aca="false">'Base Despesas'!H118</f>
        <v>0</v>
      </c>
    </row>
    <row r="178" customFormat="false" ht="15" hidden="false" customHeight="false" outlineLevel="0" collapsed="false">
      <c r="A178" s="23" t="s">
        <v>17</v>
      </c>
      <c r="B178" s="23" t="str">
        <f aca="false">'Base Despesas'!A119</f>
        <v>Fevereiro</v>
      </c>
      <c r="C178" s="23" t="str">
        <f aca="false">'Base Despesas'!B119</f>
        <v>Marketing / Publicidade</v>
      </c>
      <c r="D178" s="23" t="str">
        <f aca="false">'Base Despesas'!C119</f>
        <v>Google Ads</v>
      </c>
      <c r="E178" s="24" t="n">
        <f aca="false">'Base Despesas'!D119</f>
        <v>2500</v>
      </c>
      <c r="F178" s="23" t="n">
        <f aca="false">'Base Despesas'!F119</f>
        <v>0</v>
      </c>
      <c r="G178" s="23" t="n">
        <f aca="false">'Base Despesas'!G119</f>
        <v>0</v>
      </c>
      <c r="H178" s="23" t="n">
        <f aca="false">'Base Despesas'!E119</f>
        <v>0</v>
      </c>
      <c r="I178" s="23" t="n">
        <f aca="false">'Base Despesas'!I119</f>
        <v>0</v>
      </c>
      <c r="J178" s="23" t="n">
        <f aca="false">'Base Despesas'!H119</f>
        <v>0</v>
      </c>
    </row>
    <row r="179" customFormat="false" ht="15" hidden="false" customHeight="false" outlineLevel="0" collapsed="false">
      <c r="A179" s="23" t="s">
        <v>17</v>
      </c>
      <c r="B179" s="23" t="str">
        <f aca="false">'Base Despesas'!A120</f>
        <v>Março</v>
      </c>
      <c r="C179" s="23" t="str">
        <f aca="false">'Base Despesas'!B120</f>
        <v>Marketing / Publicidade</v>
      </c>
      <c r="D179" s="23" t="str">
        <f aca="false">'Base Despesas'!C120</f>
        <v>Google Ads</v>
      </c>
      <c r="E179" s="24" t="n">
        <f aca="false">'Base Despesas'!D120</f>
        <v>2500</v>
      </c>
      <c r="F179" s="23" t="n">
        <f aca="false">'Base Despesas'!F120</f>
        <v>0</v>
      </c>
      <c r="G179" s="23" t="n">
        <f aca="false">'Base Despesas'!G120</f>
        <v>0</v>
      </c>
      <c r="H179" s="23" t="n">
        <f aca="false">'Base Despesas'!E120</f>
        <v>0</v>
      </c>
      <c r="I179" s="23" t="n">
        <f aca="false">'Base Despesas'!I120</f>
        <v>0</v>
      </c>
      <c r="J179" s="23" t="n">
        <f aca="false">'Base Despesas'!H120</f>
        <v>0</v>
      </c>
    </row>
    <row r="180" customFormat="false" ht="15" hidden="false" customHeight="false" outlineLevel="0" collapsed="false">
      <c r="A180" s="23" t="s">
        <v>17</v>
      </c>
      <c r="B180" s="23" t="str">
        <f aca="false">'Base Despesas'!A121</f>
        <v>Abril</v>
      </c>
      <c r="C180" s="23" t="str">
        <f aca="false">'Base Despesas'!B121</f>
        <v>Marketing / Publicidade</v>
      </c>
      <c r="D180" s="23" t="str">
        <f aca="false">'Base Despesas'!C121</f>
        <v>Google Ads</v>
      </c>
      <c r="E180" s="24" t="n">
        <f aca="false">'Base Despesas'!D121</f>
        <v>2500</v>
      </c>
      <c r="F180" s="23" t="n">
        <f aca="false">'Base Despesas'!F121</f>
        <v>0</v>
      </c>
      <c r="G180" s="23" t="n">
        <f aca="false">'Base Despesas'!G121</f>
        <v>0</v>
      </c>
      <c r="H180" s="23" t="n">
        <f aca="false">'Base Despesas'!E121</f>
        <v>0</v>
      </c>
      <c r="I180" s="23" t="n">
        <f aca="false">'Base Despesas'!I121</f>
        <v>0</v>
      </c>
      <c r="J180" s="23" t="n">
        <f aca="false">'Base Despesas'!H121</f>
        <v>0</v>
      </c>
    </row>
    <row r="181" customFormat="false" ht="15" hidden="false" customHeight="false" outlineLevel="0" collapsed="false">
      <c r="A181" s="23" t="s">
        <v>17</v>
      </c>
      <c r="B181" s="23" t="str">
        <f aca="false">'Base Despesas'!A122</f>
        <v>Maio</v>
      </c>
      <c r="C181" s="23" t="str">
        <f aca="false">'Base Despesas'!B122</f>
        <v>Marketing / Publicidade</v>
      </c>
      <c r="D181" s="23" t="str">
        <f aca="false">'Base Despesas'!C122</f>
        <v>Google Ads</v>
      </c>
      <c r="E181" s="24" t="n">
        <f aca="false">'Base Despesas'!D122</f>
        <v>2500</v>
      </c>
      <c r="F181" s="23" t="n">
        <f aca="false">'Base Despesas'!F122</f>
        <v>0</v>
      </c>
      <c r="G181" s="23" t="n">
        <f aca="false">'Base Despesas'!G122</f>
        <v>0</v>
      </c>
      <c r="H181" s="23" t="n">
        <f aca="false">'Base Despesas'!E122</f>
        <v>0</v>
      </c>
      <c r="I181" s="23" t="n">
        <f aca="false">'Base Despesas'!I122</f>
        <v>0</v>
      </c>
      <c r="J181" s="23" t="n">
        <f aca="false">'Base Despesas'!H122</f>
        <v>0</v>
      </c>
    </row>
    <row r="182" customFormat="false" ht="15" hidden="false" customHeight="false" outlineLevel="0" collapsed="false">
      <c r="A182" s="23" t="s">
        <v>17</v>
      </c>
      <c r="B182" s="23" t="str">
        <f aca="false">'Base Despesas'!A123</f>
        <v>Janeiro</v>
      </c>
      <c r="C182" s="23" t="str">
        <f aca="false">'Base Despesas'!B123</f>
        <v>Materiais / Estrutura</v>
      </c>
      <c r="D182" s="23" t="str">
        <f aca="false">'Base Despesas'!C123</f>
        <v>Computador 12 parcelas</v>
      </c>
      <c r="E182" s="24" t="n">
        <f aca="false">'Base Despesas'!D123</f>
        <v>220.75</v>
      </c>
      <c r="F182" s="23" t="n">
        <f aca="false">'Base Despesas'!F123</f>
        <v>0</v>
      </c>
      <c r="G182" s="23" t="n">
        <f aca="false">'Base Despesas'!G123</f>
        <v>0</v>
      </c>
      <c r="H182" s="23" t="n">
        <f aca="false">'Base Despesas'!E123</f>
        <v>25</v>
      </c>
      <c r="I182" s="23" t="n">
        <f aca="false">'Base Despesas'!I123</f>
        <v>0</v>
      </c>
      <c r="J182" s="23" t="str">
        <f aca="false">'Base Despesas'!H123</f>
        <v>11° PARCELA</v>
      </c>
    </row>
    <row r="183" customFormat="false" ht="15" hidden="false" customHeight="false" outlineLevel="0" collapsed="false">
      <c r="A183" s="23" t="s">
        <v>17</v>
      </c>
      <c r="B183" s="23" t="str">
        <f aca="false">'Base Despesas'!A124</f>
        <v>Fevereiro</v>
      </c>
      <c r="C183" s="23" t="str">
        <f aca="false">'Base Despesas'!B124</f>
        <v>Materiais / Estrutura</v>
      </c>
      <c r="D183" s="23" t="str">
        <f aca="false">'Base Despesas'!C124</f>
        <v>Computador 12 parcelas</v>
      </c>
      <c r="E183" s="24" t="n">
        <f aca="false">'Base Despesas'!D124</f>
        <v>220.75</v>
      </c>
      <c r="F183" s="23" t="str">
        <f aca="false">'Base Despesas'!F124</f>
        <v>Pix</v>
      </c>
      <c r="G183" s="23" t="n">
        <f aca="false">'Base Despesas'!G124</f>
        <v>0</v>
      </c>
      <c r="H183" s="23" t="n">
        <f aca="false">'Base Despesas'!E124</f>
        <v>25</v>
      </c>
      <c r="I183" s="23" t="n">
        <f aca="false">'Base Despesas'!I124</f>
        <v>0</v>
      </c>
      <c r="J183" s="23" t="str">
        <f aca="false">'Base Despesas'!H124</f>
        <v>12° PARCELA</v>
      </c>
    </row>
    <row r="184" customFormat="false" ht="15" hidden="false" customHeight="false" outlineLevel="0" collapsed="false">
      <c r="A184" s="23" t="s">
        <v>17</v>
      </c>
      <c r="B184" s="23" t="str">
        <f aca="false">'Base Despesas'!A125</f>
        <v>Janeiro</v>
      </c>
      <c r="C184" s="23" t="str">
        <f aca="false">'Base Despesas'!B125</f>
        <v>Custos Fixos</v>
      </c>
      <c r="D184" s="23" t="str">
        <f aca="false">'Base Despesas'!C125</f>
        <v>Aluguel</v>
      </c>
      <c r="E184" s="24" t="n">
        <f aca="false">'Base Despesas'!D125</f>
        <v>1639.98</v>
      </c>
      <c r="F184" s="23" t="str">
        <f aca="false">'Base Despesas'!F125</f>
        <v>Boleto</v>
      </c>
      <c r="G184" s="23" t="str">
        <f aca="false">'Base Despesas'!G125</f>
        <v>PAGO</v>
      </c>
      <c r="H184" s="23" t="n">
        <f aca="false">'Base Despesas'!E125</f>
        <v>5</v>
      </c>
      <c r="I184" s="35" t="n">
        <f aca="false">'Base Despesas'!I125</f>
        <v>45992</v>
      </c>
      <c r="J184" s="23" t="str">
        <f aca="false">'Base Despesas'!H125</f>
        <v>À VISTA</v>
      </c>
    </row>
    <row r="185" customFormat="false" ht="15" hidden="false" customHeight="false" outlineLevel="0" collapsed="false">
      <c r="A185" s="23" t="s">
        <v>17</v>
      </c>
      <c r="B185" s="23" t="str">
        <f aca="false">'Base Despesas'!A126</f>
        <v>Fevereiro</v>
      </c>
      <c r="C185" s="23" t="str">
        <f aca="false">'Base Despesas'!B126</f>
        <v>Custos Fixos</v>
      </c>
      <c r="D185" s="23" t="str">
        <f aca="false">'Base Despesas'!C126</f>
        <v>Aluguel</v>
      </c>
      <c r="E185" s="24" t="n">
        <f aca="false">'Base Despesas'!D126</f>
        <v>1938.41</v>
      </c>
      <c r="F185" s="23" t="str">
        <f aca="false">'Base Despesas'!F126</f>
        <v>Boleto</v>
      </c>
      <c r="G185" s="23" t="str">
        <f aca="false">'Base Despesas'!G126</f>
        <v>PAGO</v>
      </c>
      <c r="H185" s="23" t="n">
        <f aca="false">'Base Despesas'!E126</f>
        <v>5</v>
      </c>
      <c r="I185" s="35" t="n">
        <f aca="false">'Base Despesas'!I126</f>
        <v>46023</v>
      </c>
      <c r="J185" s="23" t="str">
        <f aca="false">'Base Despesas'!H126</f>
        <v>À VISTA</v>
      </c>
    </row>
    <row r="186" customFormat="false" ht="15" hidden="false" customHeight="false" outlineLevel="0" collapsed="false">
      <c r="A186" s="23" t="s">
        <v>17</v>
      </c>
      <c r="B186" s="23" t="str">
        <f aca="false">'Base Despesas'!A127</f>
        <v>Março</v>
      </c>
      <c r="C186" s="23" t="str">
        <f aca="false">'Base Despesas'!B127</f>
        <v>Custos Fixos</v>
      </c>
      <c r="D186" s="23" t="str">
        <f aca="false">'Base Despesas'!C127</f>
        <v>Aluguel</v>
      </c>
      <c r="E186" s="24" t="n">
        <f aca="false">'Base Despesas'!D127</f>
        <v>1938.41</v>
      </c>
      <c r="F186" s="23" t="n">
        <f aca="false">'Base Despesas'!F127</f>
        <v>0</v>
      </c>
      <c r="G186" s="23" t="n">
        <f aca="false">'Base Despesas'!G127</f>
        <v>0</v>
      </c>
      <c r="H186" s="23" t="n">
        <f aca="false">'Base Despesas'!E127</f>
        <v>5</v>
      </c>
      <c r="I186" s="23" t="n">
        <f aca="false">'Base Despesas'!I127</f>
        <v>0</v>
      </c>
      <c r="J186" s="23" t="n">
        <f aca="false">'Base Despesas'!H127</f>
        <v>0</v>
      </c>
    </row>
    <row r="187" customFormat="false" ht="15" hidden="false" customHeight="false" outlineLevel="0" collapsed="false">
      <c r="A187" s="23" t="s">
        <v>17</v>
      </c>
      <c r="B187" s="23" t="str">
        <f aca="false">'Base Despesas'!A128</f>
        <v>Abril</v>
      </c>
      <c r="C187" s="23" t="str">
        <f aca="false">'Base Despesas'!B128</f>
        <v>Custos Fixos</v>
      </c>
      <c r="D187" s="23" t="str">
        <f aca="false">'Base Despesas'!C128</f>
        <v>Aluguel</v>
      </c>
      <c r="E187" s="24" t="n">
        <f aca="false">'Base Despesas'!D128</f>
        <v>1938.41</v>
      </c>
      <c r="F187" s="23" t="n">
        <f aca="false">'Base Despesas'!F128</f>
        <v>0</v>
      </c>
      <c r="G187" s="23" t="n">
        <f aca="false">'Base Despesas'!G128</f>
        <v>0</v>
      </c>
      <c r="H187" s="23" t="n">
        <f aca="false">'Base Despesas'!E128</f>
        <v>5</v>
      </c>
      <c r="I187" s="23" t="n">
        <f aca="false">'Base Despesas'!I128</f>
        <v>0</v>
      </c>
      <c r="J187" s="23" t="str">
        <f aca="false">'Base Despesas'!H128</f>
        <v>À VISTA</v>
      </c>
    </row>
    <row r="188" customFormat="false" ht="15" hidden="false" customHeight="false" outlineLevel="0" collapsed="false">
      <c r="A188" s="23" t="s">
        <v>17</v>
      </c>
      <c r="B188" s="23" t="str">
        <f aca="false">'Base Despesas'!A129</f>
        <v>Maio</v>
      </c>
      <c r="C188" s="23" t="str">
        <f aca="false">'Base Despesas'!B129</f>
        <v>Custos Fixos</v>
      </c>
      <c r="D188" s="23" t="str">
        <f aca="false">'Base Despesas'!C129</f>
        <v>Aluguel</v>
      </c>
      <c r="E188" s="24" t="n">
        <f aca="false">'Base Despesas'!D129</f>
        <v>1938.41</v>
      </c>
      <c r="F188" s="23" t="str">
        <f aca="false">'Base Despesas'!F129</f>
        <v>Boleto</v>
      </c>
      <c r="G188" s="23" t="str">
        <f aca="false">'Base Despesas'!G129</f>
        <v>PAGO</v>
      </c>
      <c r="H188" s="23" t="n">
        <f aca="false">'Base Despesas'!E129</f>
        <v>5</v>
      </c>
      <c r="I188" s="35" t="n">
        <f aca="false">'Base Despesas'!I129</f>
        <v>45962</v>
      </c>
      <c r="J188" s="23" t="str">
        <f aca="false">'Base Despesas'!H129</f>
        <v>À VISTA</v>
      </c>
    </row>
    <row r="189" customFormat="false" ht="15" hidden="false" customHeight="false" outlineLevel="0" collapsed="false">
      <c r="A189" s="23" t="s">
        <v>17</v>
      </c>
      <c r="B189" s="23" t="str">
        <f aca="false">'Base Despesas'!A130</f>
        <v>Janeiro</v>
      </c>
      <c r="C189" s="23" t="str">
        <f aca="false">'Base Despesas'!B130</f>
        <v>Custos Fixos</v>
      </c>
      <c r="D189" s="23" t="str">
        <f aca="false">'Base Despesas'!C130</f>
        <v>Água</v>
      </c>
      <c r="E189" s="24" t="n">
        <f aca="false">'Base Despesas'!D130</f>
        <v>80</v>
      </c>
      <c r="F189" s="23" t="n">
        <f aca="false">'Base Despesas'!F130</f>
        <v>0</v>
      </c>
      <c r="G189" s="23" t="n">
        <f aca="false">'Base Despesas'!G130</f>
        <v>0</v>
      </c>
      <c r="H189" s="23" t="n">
        <f aca="false">'Base Despesas'!E130</f>
        <v>0</v>
      </c>
      <c r="I189" s="23" t="n">
        <f aca="false">'Base Despesas'!I130</f>
        <v>0</v>
      </c>
      <c r="J189" s="23" t="n">
        <f aca="false">'Base Despesas'!H130</f>
        <v>0</v>
      </c>
    </row>
    <row r="190" customFormat="false" ht="15" hidden="false" customHeight="false" outlineLevel="0" collapsed="false">
      <c r="A190" s="23" t="s">
        <v>17</v>
      </c>
      <c r="B190" s="23" t="str">
        <f aca="false">'Base Despesas'!A131</f>
        <v>Fevereiro</v>
      </c>
      <c r="C190" s="23" t="str">
        <f aca="false">'Base Despesas'!B131</f>
        <v>Custos Fixos</v>
      </c>
      <c r="D190" s="23" t="str">
        <f aca="false">'Base Despesas'!C131</f>
        <v>Água</v>
      </c>
      <c r="E190" s="24" t="n">
        <f aca="false">'Base Despesas'!D131</f>
        <v>80</v>
      </c>
      <c r="F190" s="23" t="n">
        <f aca="false">'Base Despesas'!F131</f>
        <v>0</v>
      </c>
      <c r="G190" s="23" t="n">
        <f aca="false">'Base Despesas'!G131</f>
        <v>0</v>
      </c>
      <c r="H190" s="23" t="n">
        <f aca="false">'Base Despesas'!E131</f>
        <v>0</v>
      </c>
      <c r="I190" s="23" t="n">
        <f aca="false">'Base Despesas'!I131</f>
        <v>0</v>
      </c>
      <c r="J190" s="23" t="n">
        <f aca="false">'Base Despesas'!H131</f>
        <v>0</v>
      </c>
    </row>
    <row r="191" customFormat="false" ht="15" hidden="false" customHeight="false" outlineLevel="0" collapsed="false">
      <c r="A191" s="23" t="s">
        <v>17</v>
      </c>
      <c r="B191" s="23" t="str">
        <f aca="false">'Base Despesas'!A132</f>
        <v>Março</v>
      </c>
      <c r="C191" s="23" t="str">
        <f aca="false">'Base Despesas'!B132</f>
        <v>Custos Fixos</v>
      </c>
      <c r="D191" s="23" t="str">
        <f aca="false">'Base Despesas'!C132</f>
        <v>Água</v>
      </c>
      <c r="E191" s="24" t="n">
        <f aca="false">'Base Despesas'!D132</f>
        <v>80</v>
      </c>
      <c r="F191" s="23" t="n">
        <f aca="false">'Base Despesas'!F132</f>
        <v>0</v>
      </c>
      <c r="G191" s="23" t="n">
        <f aca="false">'Base Despesas'!G132</f>
        <v>0</v>
      </c>
      <c r="H191" s="23" t="n">
        <f aca="false">'Base Despesas'!E132</f>
        <v>0</v>
      </c>
      <c r="I191" s="23" t="n">
        <f aca="false">'Base Despesas'!I132</f>
        <v>0</v>
      </c>
      <c r="J191" s="23" t="n">
        <f aca="false">'Base Despesas'!H132</f>
        <v>0</v>
      </c>
    </row>
    <row r="192" customFormat="false" ht="15" hidden="false" customHeight="false" outlineLevel="0" collapsed="false">
      <c r="A192" s="23" t="s">
        <v>17</v>
      </c>
      <c r="B192" s="23" t="str">
        <f aca="false">'Base Despesas'!A133</f>
        <v>Abril</v>
      </c>
      <c r="C192" s="23" t="str">
        <f aca="false">'Base Despesas'!B133</f>
        <v>Custos Fixos</v>
      </c>
      <c r="D192" s="23" t="str">
        <f aca="false">'Base Despesas'!C133</f>
        <v>Água</v>
      </c>
      <c r="E192" s="24" t="n">
        <f aca="false">'Base Despesas'!D133</f>
        <v>80</v>
      </c>
      <c r="F192" s="23" t="n">
        <f aca="false">'Base Despesas'!F133</f>
        <v>0</v>
      </c>
      <c r="G192" s="23" t="n">
        <f aca="false">'Base Despesas'!G133</f>
        <v>0</v>
      </c>
      <c r="H192" s="23" t="n">
        <f aca="false">'Base Despesas'!E133</f>
        <v>0</v>
      </c>
      <c r="I192" s="23" t="n">
        <f aca="false">'Base Despesas'!I133</f>
        <v>0</v>
      </c>
      <c r="J192" s="23" t="n">
        <f aca="false">'Base Despesas'!H133</f>
        <v>0</v>
      </c>
    </row>
    <row r="193" customFormat="false" ht="15" hidden="false" customHeight="false" outlineLevel="0" collapsed="false">
      <c r="A193" s="23" t="s">
        <v>17</v>
      </c>
      <c r="B193" s="23" t="str">
        <f aca="false">'Base Despesas'!A134</f>
        <v>Maio</v>
      </c>
      <c r="C193" s="23" t="str">
        <f aca="false">'Base Despesas'!B134</f>
        <v>Custos Fixos</v>
      </c>
      <c r="D193" s="23" t="str">
        <f aca="false">'Base Despesas'!C134</f>
        <v>Água</v>
      </c>
      <c r="E193" s="24" t="n">
        <f aca="false">'Base Despesas'!D134</f>
        <v>80</v>
      </c>
      <c r="F193" s="23" t="n">
        <f aca="false">'Base Despesas'!F134</f>
        <v>0</v>
      </c>
      <c r="G193" s="23" t="n">
        <f aca="false">'Base Despesas'!G134</f>
        <v>0</v>
      </c>
      <c r="H193" s="23" t="n">
        <f aca="false">'Base Despesas'!E134</f>
        <v>0</v>
      </c>
      <c r="I193" s="23" t="n">
        <f aca="false">'Base Despesas'!I134</f>
        <v>0</v>
      </c>
      <c r="J193" s="23" t="n">
        <f aca="false">'Base Despesas'!H134</f>
        <v>0</v>
      </c>
    </row>
    <row r="194" customFormat="false" ht="15" hidden="false" customHeight="false" outlineLevel="0" collapsed="false">
      <c r="A194" s="23" t="s">
        <v>17</v>
      </c>
      <c r="B194" s="23" t="str">
        <f aca="false">'Base Despesas'!A135</f>
        <v>Janeiro</v>
      </c>
      <c r="C194" s="23" t="str">
        <f aca="false">'Base Despesas'!B135</f>
        <v>Custos Fixos</v>
      </c>
      <c r="D194" s="23" t="str">
        <f aca="false">'Base Despesas'!C135</f>
        <v>Luz</v>
      </c>
      <c r="E194" s="24" t="n">
        <f aca="false">'Base Despesas'!D135</f>
        <v>135</v>
      </c>
      <c r="F194" s="23" t="n">
        <f aca="false">'Base Despesas'!F135</f>
        <v>0</v>
      </c>
      <c r="G194" s="23" t="str">
        <f aca="false">'Base Despesas'!G135</f>
        <v>PAGO</v>
      </c>
      <c r="H194" s="23" t="n">
        <f aca="false">'Base Despesas'!E135</f>
        <v>25</v>
      </c>
      <c r="I194" s="35" t="n">
        <f aca="false">'Base Despesas'!I135</f>
        <v>46023</v>
      </c>
      <c r="J194" s="23" t="n">
        <f aca="false">'Base Despesas'!H135</f>
        <v>0</v>
      </c>
    </row>
    <row r="195" customFormat="false" ht="15" hidden="false" customHeight="false" outlineLevel="0" collapsed="false">
      <c r="A195" s="23" t="s">
        <v>17</v>
      </c>
      <c r="B195" s="23" t="str">
        <f aca="false">'Base Despesas'!A136</f>
        <v>Fevereiro</v>
      </c>
      <c r="C195" s="23" t="str">
        <f aca="false">'Base Despesas'!B136</f>
        <v>Custos Fixos</v>
      </c>
      <c r="D195" s="23" t="str">
        <f aca="false">'Base Despesas'!C136</f>
        <v>Luz</v>
      </c>
      <c r="E195" s="24" t="n">
        <f aca="false">'Base Despesas'!D136</f>
        <v>140.47</v>
      </c>
      <c r="F195" s="23" t="str">
        <f aca="false">'Base Despesas'!F136</f>
        <v>Boleto</v>
      </c>
      <c r="G195" s="23" t="n">
        <f aca="false">'Base Despesas'!G136</f>
        <v>0</v>
      </c>
      <c r="H195" s="23" t="n">
        <f aca="false">'Base Despesas'!E136</f>
        <v>25</v>
      </c>
      <c r="I195" s="23" t="n">
        <f aca="false">'Base Despesas'!I136</f>
        <v>0</v>
      </c>
      <c r="J195" s="23" t="n">
        <f aca="false">'Base Despesas'!H136</f>
        <v>0</v>
      </c>
    </row>
    <row r="196" customFormat="false" ht="15" hidden="false" customHeight="false" outlineLevel="0" collapsed="false">
      <c r="A196" s="23" t="s">
        <v>17</v>
      </c>
      <c r="B196" s="23" t="str">
        <f aca="false">'Base Despesas'!A137</f>
        <v>Março</v>
      </c>
      <c r="C196" s="23" t="str">
        <f aca="false">'Base Despesas'!B137</f>
        <v>Custos Fixos</v>
      </c>
      <c r="D196" s="23" t="str">
        <f aca="false">'Base Despesas'!C137</f>
        <v>Luz</v>
      </c>
      <c r="E196" s="24" t="n">
        <f aca="false">'Base Despesas'!D137</f>
        <v>85.25</v>
      </c>
      <c r="F196" s="23" t="n">
        <f aca="false">'Base Despesas'!F137</f>
        <v>0</v>
      </c>
      <c r="G196" s="23" t="n">
        <f aca="false">'Base Despesas'!G137</f>
        <v>0</v>
      </c>
      <c r="H196" s="23" t="n">
        <f aca="false">'Base Despesas'!E137</f>
        <v>25</v>
      </c>
      <c r="I196" s="23" t="n">
        <f aca="false">'Base Despesas'!I137</f>
        <v>0</v>
      </c>
      <c r="J196" s="23" t="n">
        <f aca="false">'Base Despesas'!H137</f>
        <v>0</v>
      </c>
    </row>
    <row r="197" customFormat="false" ht="15" hidden="false" customHeight="false" outlineLevel="0" collapsed="false">
      <c r="A197" s="23" t="s">
        <v>17</v>
      </c>
      <c r="B197" s="23" t="str">
        <f aca="false">'Base Despesas'!A138</f>
        <v>Abril</v>
      </c>
      <c r="C197" s="23" t="str">
        <f aca="false">'Base Despesas'!B138</f>
        <v>Custos Fixos</v>
      </c>
      <c r="D197" s="23" t="str">
        <f aca="false">'Base Despesas'!C138</f>
        <v>Luz</v>
      </c>
      <c r="E197" s="24" t="n">
        <f aca="false">'Base Despesas'!D138</f>
        <v>85.25</v>
      </c>
      <c r="F197" s="23" t="n">
        <f aca="false">'Base Despesas'!F138</f>
        <v>0</v>
      </c>
      <c r="G197" s="23" t="n">
        <f aca="false">'Base Despesas'!G138</f>
        <v>0</v>
      </c>
      <c r="H197" s="23" t="n">
        <f aca="false">'Base Despesas'!E138</f>
        <v>25</v>
      </c>
      <c r="I197" s="23" t="n">
        <f aca="false">'Base Despesas'!I138</f>
        <v>0</v>
      </c>
      <c r="J197" s="23" t="n">
        <f aca="false">'Base Despesas'!H138</f>
        <v>0</v>
      </c>
    </row>
    <row r="198" customFormat="false" ht="15" hidden="false" customHeight="false" outlineLevel="0" collapsed="false">
      <c r="A198" s="23" t="s">
        <v>17</v>
      </c>
      <c r="B198" s="23" t="str">
        <f aca="false">'Base Despesas'!A139</f>
        <v>Maio</v>
      </c>
      <c r="C198" s="23" t="str">
        <f aca="false">'Base Despesas'!B139</f>
        <v>Custos Fixos</v>
      </c>
      <c r="D198" s="23" t="str">
        <f aca="false">'Base Despesas'!C139</f>
        <v>Luz</v>
      </c>
      <c r="E198" s="24" t="n">
        <f aca="false">'Base Despesas'!D139</f>
        <v>85.25</v>
      </c>
      <c r="F198" s="23" t="n">
        <f aca="false">'Base Despesas'!F139</f>
        <v>0</v>
      </c>
      <c r="G198" s="23" t="n">
        <f aca="false">'Base Despesas'!G139</f>
        <v>0</v>
      </c>
      <c r="H198" s="23" t="n">
        <f aca="false">'Base Despesas'!E139</f>
        <v>25</v>
      </c>
      <c r="I198" s="23" t="n">
        <f aca="false">'Base Despesas'!I139</f>
        <v>0</v>
      </c>
      <c r="J198" s="23" t="n">
        <f aca="false">'Base Despesas'!H139</f>
        <v>0</v>
      </c>
    </row>
    <row r="199" customFormat="false" ht="15" hidden="false" customHeight="false" outlineLevel="0" collapsed="false">
      <c r="A199" s="23" t="s">
        <v>17</v>
      </c>
      <c r="B199" s="23" t="str">
        <f aca="false">'Base Despesas'!A140</f>
        <v>Janeiro</v>
      </c>
      <c r="C199" s="23" t="str">
        <f aca="false">'Base Despesas'!B140</f>
        <v>Custos Fixos</v>
      </c>
      <c r="D199" s="23" t="str">
        <f aca="false">'Base Despesas'!C140</f>
        <v>Internet</v>
      </c>
      <c r="E199" s="24" t="n">
        <f aca="false">'Base Despesas'!D140</f>
        <v>249.15</v>
      </c>
      <c r="F199" s="23" t="str">
        <f aca="false">'Base Despesas'!F140</f>
        <v>Boleto</v>
      </c>
      <c r="G199" s="23" t="str">
        <f aca="false">'Base Despesas'!G140</f>
        <v>PAGO</v>
      </c>
      <c r="H199" s="23" t="str">
        <f aca="false">'Base Despesas'!E140</f>
        <v>5 10 13</v>
      </c>
      <c r="I199" s="23" t="n">
        <f aca="false">'Base Despesas'!I140</f>
        <v>0</v>
      </c>
      <c r="J199" s="23" t="n">
        <f aca="false">'Base Despesas'!H140</f>
        <v>0</v>
      </c>
    </row>
    <row r="200" customFormat="false" ht="15" hidden="false" customHeight="false" outlineLevel="0" collapsed="false">
      <c r="A200" s="23" t="s">
        <v>17</v>
      </c>
      <c r="B200" s="23" t="str">
        <f aca="false">'Base Despesas'!A141</f>
        <v>Fevereiro</v>
      </c>
      <c r="C200" s="23" t="str">
        <f aca="false">'Base Despesas'!B141</f>
        <v>Custos Fixos</v>
      </c>
      <c r="D200" s="23" t="str">
        <f aca="false">'Base Despesas'!C141</f>
        <v>Internet</v>
      </c>
      <c r="E200" s="24" t="n">
        <f aca="false">'Base Despesas'!D141</f>
        <v>211.13</v>
      </c>
      <c r="F200" s="23" t="str">
        <f aca="false">'Base Despesas'!F141</f>
        <v>Boleto</v>
      </c>
      <c r="G200" s="23" t="str">
        <f aca="false">'Base Despesas'!G141</f>
        <v>PAGO</v>
      </c>
      <c r="H200" s="23" t="str">
        <f aca="false">'Base Despesas'!E141</f>
        <v>5 10 13</v>
      </c>
      <c r="I200" s="23" t="n">
        <f aca="false">'Base Despesas'!I141</f>
        <v>0</v>
      </c>
      <c r="J200" s="23" t="n">
        <f aca="false">'Base Despesas'!H141</f>
        <v>0</v>
      </c>
    </row>
    <row r="201" customFormat="false" ht="15" hidden="false" customHeight="false" outlineLevel="0" collapsed="false">
      <c r="A201" s="23" t="s">
        <v>17</v>
      </c>
      <c r="B201" s="23" t="str">
        <f aca="false">'Base Despesas'!A142</f>
        <v>Março</v>
      </c>
      <c r="C201" s="23" t="str">
        <f aca="false">'Base Despesas'!B142</f>
        <v>Custos Fixos</v>
      </c>
      <c r="D201" s="23" t="str">
        <f aca="false">'Base Despesas'!C142</f>
        <v>Internet</v>
      </c>
      <c r="E201" s="24" t="n">
        <f aca="false">'Base Despesas'!D142</f>
        <v>249.15</v>
      </c>
      <c r="F201" s="23" t="n">
        <f aca="false">'Base Despesas'!F142</f>
        <v>0</v>
      </c>
      <c r="G201" s="23" t="n">
        <f aca="false">'Base Despesas'!G142</f>
        <v>0</v>
      </c>
      <c r="H201" s="23" t="str">
        <f aca="false">'Base Despesas'!E142</f>
        <v>5 10 13</v>
      </c>
      <c r="I201" s="23" t="n">
        <f aca="false">'Base Despesas'!I142</f>
        <v>0</v>
      </c>
      <c r="J201" s="23" t="n">
        <f aca="false">'Base Despesas'!H142</f>
        <v>0</v>
      </c>
    </row>
    <row r="202" customFormat="false" ht="15" hidden="false" customHeight="false" outlineLevel="0" collapsed="false">
      <c r="A202" s="23" t="s">
        <v>17</v>
      </c>
      <c r="B202" s="23" t="str">
        <f aca="false">'Base Despesas'!A143</f>
        <v>Abril</v>
      </c>
      <c r="C202" s="23" t="str">
        <f aca="false">'Base Despesas'!B143</f>
        <v>Custos Fixos</v>
      </c>
      <c r="D202" s="23" t="str">
        <f aca="false">'Base Despesas'!C143</f>
        <v>Internet</v>
      </c>
      <c r="E202" s="24" t="n">
        <f aca="false">'Base Despesas'!D143</f>
        <v>249.15</v>
      </c>
      <c r="F202" s="23" t="str">
        <f aca="false">'Base Despesas'!F143</f>
        <v>Boleto</v>
      </c>
      <c r="G202" s="23" t="n">
        <f aca="false">'Base Despesas'!G143</f>
        <v>0</v>
      </c>
      <c r="H202" s="23" t="str">
        <f aca="false">'Base Despesas'!E143</f>
        <v>5 10 13</v>
      </c>
      <c r="I202" s="35" t="n">
        <f aca="false">'Base Despesas'!I143</f>
        <v>45931</v>
      </c>
      <c r="J202" s="23" t="str">
        <f aca="false">'Base Despesas'!H143</f>
        <v>À VISTA</v>
      </c>
    </row>
    <row r="203" customFormat="false" ht="15" hidden="false" customHeight="false" outlineLevel="0" collapsed="false">
      <c r="A203" s="23" t="s">
        <v>17</v>
      </c>
      <c r="B203" s="23" t="str">
        <f aca="false">'Base Despesas'!A144</f>
        <v>Maio</v>
      </c>
      <c r="C203" s="23" t="str">
        <f aca="false">'Base Despesas'!B144</f>
        <v>Custos Fixos</v>
      </c>
      <c r="D203" s="23" t="str">
        <f aca="false">'Base Despesas'!C144</f>
        <v>Internet</v>
      </c>
      <c r="E203" s="24" t="n">
        <f aca="false">'Base Despesas'!D144</f>
        <v>249.15</v>
      </c>
      <c r="F203" s="23" t="str">
        <f aca="false">'Base Despesas'!F144</f>
        <v>Boleto</v>
      </c>
      <c r="G203" s="23" t="str">
        <f aca="false">'Base Despesas'!G144</f>
        <v>PAGO</v>
      </c>
      <c r="H203" s="23" t="str">
        <f aca="false">'Base Despesas'!E144</f>
        <v>5 10 13</v>
      </c>
      <c r="I203" s="35" t="n">
        <f aca="false">'Base Despesas'!I144</f>
        <v>45992</v>
      </c>
      <c r="J203" s="23" t="str">
        <f aca="false">'Base Despesas'!H144</f>
        <v>À VISTA</v>
      </c>
    </row>
    <row r="204" customFormat="false" ht="15" hidden="false" customHeight="false" outlineLevel="0" collapsed="false">
      <c r="A204" s="23" t="s">
        <v>17</v>
      </c>
      <c r="B204" s="23" t="str">
        <f aca="false">'Base Despesas'!A145</f>
        <v>Janeiro</v>
      </c>
      <c r="C204" s="23" t="str">
        <f aca="false">'Base Despesas'!B145</f>
        <v>Custos Fixos</v>
      </c>
      <c r="D204" s="23" t="str">
        <f aca="false">'Base Despesas'!C145</f>
        <v>Convivência / Faxina</v>
      </c>
      <c r="E204" s="24" t="n">
        <f aca="false">'Base Despesas'!D145</f>
        <v>200</v>
      </c>
      <c r="F204" s="23" t="n">
        <f aca="false">'Base Despesas'!F145</f>
        <v>0</v>
      </c>
      <c r="G204" s="23" t="n">
        <f aca="false">'Base Despesas'!G145</f>
        <v>0</v>
      </c>
      <c r="H204" s="23" t="n">
        <f aca="false">'Base Despesas'!E145</f>
        <v>25</v>
      </c>
      <c r="I204" s="23" t="n">
        <f aca="false">'Base Despesas'!I145</f>
        <v>0</v>
      </c>
      <c r="J204" s="23" t="n">
        <f aca="false">'Base Despesas'!H145</f>
        <v>0</v>
      </c>
    </row>
    <row r="205" customFormat="false" ht="15" hidden="false" customHeight="false" outlineLevel="0" collapsed="false">
      <c r="A205" s="23" t="s">
        <v>17</v>
      </c>
      <c r="B205" s="23" t="str">
        <f aca="false">'Base Despesas'!A146</f>
        <v>Fevereiro</v>
      </c>
      <c r="C205" s="23" t="str">
        <f aca="false">'Base Despesas'!B146</f>
        <v>Custos Fixos</v>
      </c>
      <c r="D205" s="23" t="str">
        <f aca="false">'Base Despesas'!C146</f>
        <v>Convivência / Faxina</v>
      </c>
      <c r="E205" s="24" t="n">
        <f aca="false">'Base Despesas'!D146</f>
        <v>200</v>
      </c>
      <c r="F205" s="23" t="n">
        <f aca="false">'Base Despesas'!F146</f>
        <v>0</v>
      </c>
      <c r="G205" s="23" t="n">
        <f aca="false">'Base Despesas'!G146</f>
        <v>0</v>
      </c>
      <c r="H205" s="23" t="n">
        <f aca="false">'Base Despesas'!E146</f>
        <v>25</v>
      </c>
      <c r="I205" s="23" t="n">
        <f aca="false">'Base Despesas'!I146</f>
        <v>0</v>
      </c>
      <c r="J205" s="23" t="n">
        <f aca="false">'Base Despesas'!H146</f>
        <v>0</v>
      </c>
    </row>
    <row r="206" customFormat="false" ht="15" hidden="false" customHeight="false" outlineLevel="0" collapsed="false">
      <c r="A206" s="23" t="s">
        <v>17</v>
      </c>
      <c r="B206" s="23" t="str">
        <f aca="false">'Base Despesas'!A147</f>
        <v>Março</v>
      </c>
      <c r="C206" s="23" t="str">
        <f aca="false">'Base Despesas'!B147</f>
        <v>Custos Fixos</v>
      </c>
      <c r="D206" s="23" t="str">
        <f aca="false">'Base Despesas'!C147</f>
        <v>Convivência / Faxina</v>
      </c>
      <c r="E206" s="24" t="str">
        <f aca="false">'Base Despesas'!D147</f>
        <v> </v>
      </c>
      <c r="F206" s="23" t="n">
        <f aca="false">'Base Despesas'!F147</f>
        <v>0</v>
      </c>
      <c r="G206" s="23" t="n">
        <f aca="false">'Base Despesas'!G147</f>
        <v>0</v>
      </c>
      <c r="H206" s="23" t="n">
        <f aca="false">'Base Despesas'!E147</f>
        <v>25</v>
      </c>
      <c r="I206" s="23" t="n">
        <f aca="false">'Base Despesas'!I147</f>
        <v>0</v>
      </c>
      <c r="J206" s="23" t="n">
        <f aca="false">'Base Despesas'!H147</f>
        <v>0</v>
      </c>
    </row>
    <row r="207" customFormat="false" ht="15" hidden="false" customHeight="false" outlineLevel="0" collapsed="false">
      <c r="A207" s="23" t="s">
        <v>17</v>
      </c>
      <c r="B207" s="23" t="str">
        <f aca="false">'Base Despesas'!A148</f>
        <v>Abril</v>
      </c>
      <c r="C207" s="23" t="str">
        <f aca="false">'Base Despesas'!B148</f>
        <v>Custos Fixos</v>
      </c>
      <c r="D207" s="23" t="str">
        <f aca="false">'Base Despesas'!C148</f>
        <v>Convivência / Faxina</v>
      </c>
      <c r="E207" s="24" t="n">
        <f aca="false">'Base Despesas'!D148</f>
        <v>200</v>
      </c>
      <c r="F207" s="23" t="n">
        <f aca="false">'Base Despesas'!F148</f>
        <v>0</v>
      </c>
      <c r="G207" s="23" t="n">
        <f aca="false">'Base Despesas'!G148</f>
        <v>0</v>
      </c>
      <c r="H207" s="23" t="n">
        <f aca="false">'Base Despesas'!E148</f>
        <v>25</v>
      </c>
      <c r="I207" s="23" t="n">
        <f aca="false">'Base Despesas'!I148</f>
        <v>0</v>
      </c>
      <c r="J207" s="23" t="n">
        <f aca="false">'Base Despesas'!H148</f>
        <v>0</v>
      </c>
    </row>
    <row r="208" customFormat="false" ht="15" hidden="false" customHeight="false" outlineLevel="0" collapsed="false">
      <c r="A208" s="23" t="s">
        <v>17</v>
      </c>
      <c r="B208" s="23" t="str">
        <f aca="false">'Base Despesas'!A149</f>
        <v>Maio</v>
      </c>
      <c r="C208" s="23" t="str">
        <f aca="false">'Base Despesas'!B149</f>
        <v>Custos Fixos</v>
      </c>
      <c r="D208" s="23" t="str">
        <f aca="false">'Base Despesas'!C149</f>
        <v>Convivência / Faxina</v>
      </c>
      <c r="E208" s="24" t="n">
        <f aca="false">'Base Despesas'!D149</f>
        <v>200</v>
      </c>
      <c r="F208" s="23" t="n">
        <f aca="false">'Base Despesas'!F149</f>
        <v>0</v>
      </c>
      <c r="G208" s="23" t="n">
        <f aca="false">'Base Despesas'!G149</f>
        <v>0</v>
      </c>
      <c r="H208" s="23" t="n">
        <f aca="false">'Base Despesas'!E149</f>
        <v>25</v>
      </c>
      <c r="I208" s="23" t="n">
        <f aca="false">'Base Despesas'!I149</f>
        <v>0</v>
      </c>
      <c r="J208" s="23" t="n">
        <f aca="false">'Base Despesas'!H149</f>
        <v>0</v>
      </c>
    </row>
    <row r="209" customFormat="false" ht="15" hidden="false" customHeight="false" outlineLevel="0" collapsed="false">
      <c r="A209" s="23" t="s">
        <v>17</v>
      </c>
      <c r="B209" s="23" t="str">
        <f aca="false">'Base Despesas'!A150</f>
        <v>Janeiro</v>
      </c>
      <c r="C209" s="23" t="str">
        <f aca="false">'Base Despesas'!B150</f>
        <v>Custos Fixos</v>
      </c>
      <c r="D209" s="23" t="str">
        <f aca="false">'Base Despesas'!C150</f>
        <v>Impostos e Taxas</v>
      </c>
      <c r="E209" s="24" t="n">
        <f aca="false">'Base Despesas'!D150</f>
        <v>1543.44</v>
      </c>
      <c r="F209" s="23" t="str">
        <f aca="false">'Base Despesas'!F150</f>
        <v>Boleto</v>
      </c>
      <c r="G209" s="23" t="str">
        <f aca="false">'Base Despesas'!G150</f>
        <v>PAGO</v>
      </c>
      <c r="H209" s="23" t="n">
        <f aca="false">'Base Despesas'!E150</f>
        <v>20</v>
      </c>
      <c r="I209" s="35" t="n">
        <f aca="false">'Base Despesas'!I150</f>
        <v>45992</v>
      </c>
      <c r="J209" s="23" t="str">
        <f aca="false">'Base Despesas'!H150</f>
        <v>À VISTA</v>
      </c>
    </row>
    <row r="210" customFormat="false" ht="15" hidden="false" customHeight="false" outlineLevel="0" collapsed="false">
      <c r="A210" s="23" t="s">
        <v>17</v>
      </c>
      <c r="B210" s="23" t="str">
        <f aca="false">'Base Despesas'!A151</f>
        <v>Fevereiro</v>
      </c>
      <c r="C210" s="23" t="str">
        <f aca="false">'Base Despesas'!B151</f>
        <v>Custos Fixos</v>
      </c>
      <c r="D210" s="23" t="str">
        <f aca="false">'Base Despesas'!C151</f>
        <v>Impostos e Taxas</v>
      </c>
      <c r="E210" s="24" t="n">
        <f aca="false">'Base Despesas'!D151</f>
        <v>1151</v>
      </c>
      <c r="F210" s="23" t="str">
        <f aca="false">'Base Despesas'!F151</f>
        <v>Boleto</v>
      </c>
      <c r="G210" s="23" t="str">
        <f aca="false">'Base Despesas'!G151</f>
        <v>PAGO</v>
      </c>
      <c r="H210" s="23" t="n">
        <f aca="false">'Base Despesas'!E151</f>
        <v>20</v>
      </c>
      <c r="I210" s="23" t="n">
        <f aca="false">'Base Despesas'!I151</f>
        <v>0</v>
      </c>
      <c r="J210" s="23" t="n">
        <f aca="false">'Base Despesas'!H151</f>
        <v>0</v>
      </c>
    </row>
    <row r="211" customFormat="false" ht="15" hidden="false" customHeight="false" outlineLevel="0" collapsed="false">
      <c r="A211" s="23" t="s">
        <v>17</v>
      </c>
      <c r="B211" s="23" t="str">
        <f aca="false">'Base Despesas'!A152</f>
        <v>Março</v>
      </c>
      <c r="C211" s="23" t="str">
        <f aca="false">'Base Despesas'!B152</f>
        <v>Custos Fixos</v>
      </c>
      <c r="D211" s="23" t="str">
        <f aca="false">'Base Despesas'!C152</f>
        <v>Impostos e Taxas</v>
      </c>
      <c r="E211" s="24" t="n">
        <f aca="false">'Base Despesas'!D152</f>
        <v>900</v>
      </c>
      <c r="F211" s="23" t="n">
        <f aca="false">'Base Despesas'!F152</f>
        <v>0</v>
      </c>
      <c r="G211" s="23" t="n">
        <f aca="false">'Base Despesas'!G152</f>
        <v>0</v>
      </c>
      <c r="H211" s="23" t="n">
        <f aca="false">'Base Despesas'!E152</f>
        <v>20</v>
      </c>
      <c r="I211" s="23" t="n">
        <f aca="false">'Base Despesas'!I152</f>
        <v>0</v>
      </c>
      <c r="J211" s="23" t="n">
        <f aca="false">'Base Despesas'!H152</f>
        <v>0</v>
      </c>
    </row>
    <row r="212" customFormat="false" ht="15" hidden="false" customHeight="false" outlineLevel="0" collapsed="false">
      <c r="A212" s="23" t="s">
        <v>17</v>
      </c>
      <c r="B212" s="23" t="str">
        <f aca="false">'Base Despesas'!A153</f>
        <v>Abril</v>
      </c>
      <c r="C212" s="23" t="str">
        <f aca="false">'Base Despesas'!B153</f>
        <v>Custos Fixos</v>
      </c>
      <c r="D212" s="23" t="str">
        <f aca="false">'Base Despesas'!C153</f>
        <v>Impostos e Taxas</v>
      </c>
      <c r="E212" s="24" t="n">
        <f aca="false">'Base Despesas'!D153</f>
        <v>900</v>
      </c>
      <c r="F212" s="23" t="n">
        <f aca="false">'Base Despesas'!F153</f>
        <v>0</v>
      </c>
      <c r="G212" s="23" t="n">
        <f aca="false">'Base Despesas'!G153</f>
        <v>0</v>
      </c>
      <c r="H212" s="23" t="n">
        <f aca="false">'Base Despesas'!E153</f>
        <v>20</v>
      </c>
      <c r="I212" s="23" t="n">
        <f aca="false">'Base Despesas'!I153</f>
        <v>0</v>
      </c>
      <c r="J212" s="23" t="n">
        <f aca="false">'Base Despesas'!H153</f>
        <v>0</v>
      </c>
    </row>
    <row r="213" customFormat="false" ht="15" hidden="false" customHeight="false" outlineLevel="0" collapsed="false">
      <c r="A213" s="23" t="s">
        <v>17</v>
      </c>
      <c r="B213" s="23" t="str">
        <f aca="false">'Base Despesas'!A154</f>
        <v>Maio</v>
      </c>
      <c r="C213" s="23" t="str">
        <f aca="false">'Base Despesas'!B154</f>
        <v>Custos Fixos</v>
      </c>
      <c r="D213" s="23" t="str">
        <f aca="false">'Base Despesas'!C154</f>
        <v>Impostos e Taxas</v>
      </c>
      <c r="E213" s="24" t="n">
        <f aca="false">'Base Despesas'!D154</f>
        <v>900</v>
      </c>
      <c r="F213" s="23" t="n">
        <f aca="false">'Base Despesas'!F154</f>
        <v>0</v>
      </c>
      <c r="G213" s="23" t="n">
        <f aca="false">'Base Despesas'!G154</f>
        <v>0</v>
      </c>
      <c r="H213" s="23" t="n">
        <f aca="false">'Base Despesas'!E154</f>
        <v>20</v>
      </c>
      <c r="I213" s="23" t="n">
        <f aca="false">'Base Despesas'!I154</f>
        <v>0</v>
      </c>
      <c r="J213" s="23" t="n">
        <f aca="false">'Base Despesas'!H154</f>
        <v>0</v>
      </c>
    </row>
    <row r="214" customFormat="false" ht="15" hidden="false" customHeight="false" outlineLevel="0" collapsed="false">
      <c r="A214" s="23" t="s">
        <v>17</v>
      </c>
      <c r="B214" s="23" t="str">
        <f aca="false">'Base Despesas'!A155</f>
        <v>Janeiro</v>
      </c>
      <c r="C214" s="23" t="str">
        <f aca="false">'Base Despesas'!B155</f>
        <v>Administrativo</v>
      </c>
      <c r="D214" s="23" t="str">
        <f aca="false">'Base Despesas'!C155</f>
        <v>Medicina do trabalho</v>
      </c>
      <c r="E214" s="24" t="n">
        <f aca="false">'Base Despesas'!D155</f>
        <v>190</v>
      </c>
      <c r="F214" s="23" t="str">
        <f aca="false">'Base Despesas'!F155</f>
        <v>Boleto</v>
      </c>
      <c r="G214" s="23" t="str">
        <f aca="false">'Base Despesas'!G155</f>
        <v>PAGO</v>
      </c>
      <c r="H214" s="23" t="n">
        <f aca="false">'Base Despesas'!E155</f>
        <v>5</v>
      </c>
      <c r="I214" s="23" t="n">
        <f aca="false">'Base Despesas'!I155</f>
        <v>0</v>
      </c>
      <c r="J214" s="23" t="n">
        <f aca="false">'Base Despesas'!H155</f>
        <v>0</v>
      </c>
    </row>
    <row r="215" customFormat="false" ht="15" hidden="false" customHeight="false" outlineLevel="0" collapsed="false">
      <c r="A215" s="23" t="s">
        <v>17</v>
      </c>
      <c r="B215" s="23" t="str">
        <f aca="false">'Base Despesas'!A156</f>
        <v>Fevereiro</v>
      </c>
      <c r="C215" s="23" t="str">
        <f aca="false">'Base Despesas'!B156</f>
        <v>Administrativo</v>
      </c>
      <c r="D215" s="23" t="str">
        <f aca="false">'Base Despesas'!C156</f>
        <v>Medicina do trabalho</v>
      </c>
      <c r="E215" s="24" t="n">
        <f aca="false">'Base Despesas'!D156</f>
        <v>190</v>
      </c>
      <c r="F215" s="23" t="str">
        <f aca="false">'Base Despesas'!F156</f>
        <v>Boleto</v>
      </c>
      <c r="G215" s="23" t="str">
        <f aca="false">'Base Despesas'!G156</f>
        <v>PAGO</v>
      </c>
      <c r="H215" s="23" t="n">
        <f aca="false">'Base Despesas'!E156</f>
        <v>5</v>
      </c>
      <c r="I215" s="35" t="n">
        <f aca="false">'Base Despesas'!I156</f>
        <v>46023</v>
      </c>
      <c r="J215" s="23" t="str">
        <f aca="false">'Base Despesas'!H156</f>
        <v>À VISTA</v>
      </c>
    </row>
    <row r="216" customFormat="false" ht="15" hidden="false" customHeight="false" outlineLevel="0" collapsed="false">
      <c r="A216" s="23" t="s">
        <v>17</v>
      </c>
      <c r="B216" s="23" t="str">
        <f aca="false">'Base Despesas'!A157</f>
        <v>Março</v>
      </c>
      <c r="C216" s="23" t="str">
        <f aca="false">'Base Despesas'!B157</f>
        <v>Administrativo</v>
      </c>
      <c r="D216" s="23" t="str">
        <f aca="false">'Base Despesas'!C157</f>
        <v>Medicina do trabalho</v>
      </c>
      <c r="E216" s="24" t="n">
        <f aca="false">'Base Despesas'!D157</f>
        <v>190</v>
      </c>
      <c r="F216" s="23" t="n">
        <f aca="false">'Base Despesas'!F157</f>
        <v>0</v>
      </c>
      <c r="G216" s="23" t="n">
        <f aca="false">'Base Despesas'!G157</f>
        <v>0</v>
      </c>
      <c r="H216" s="23" t="n">
        <f aca="false">'Base Despesas'!E157</f>
        <v>5</v>
      </c>
      <c r="I216" s="23" t="n">
        <f aca="false">'Base Despesas'!I157</f>
        <v>0</v>
      </c>
      <c r="J216" s="23" t="n">
        <f aca="false">'Base Despesas'!H157</f>
        <v>0</v>
      </c>
    </row>
    <row r="217" customFormat="false" ht="15" hidden="false" customHeight="false" outlineLevel="0" collapsed="false">
      <c r="A217" s="23" t="s">
        <v>17</v>
      </c>
      <c r="B217" s="23" t="str">
        <f aca="false">'Base Despesas'!A158</f>
        <v>Abril</v>
      </c>
      <c r="C217" s="23" t="str">
        <f aca="false">'Base Despesas'!B158</f>
        <v>Administrativo</v>
      </c>
      <c r="D217" s="23" t="str">
        <f aca="false">'Base Despesas'!C158</f>
        <v>Medicina do trabalho</v>
      </c>
      <c r="E217" s="24" t="n">
        <f aca="false">'Base Despesas'!D158</f>
        <v>190</v>
      </c>
      <c r="F217" s="23" t="str">
        <f aca="false">'Base Despesas'!F158</f>
        <v>Boleto</v>
      </c>
      <c r="G217" s="23" t="n">
        <f aca="false">'Base Despesas'!G158</f>
        <v>0</v>
      </c>
      <c r="H217" s="23" t="n">
        <f aca="false">'Base Despesas'!E158</f>
        <v>5</v>
      </c>
      <c r="I217" s="23" t="n">
        <f aca="false">'Base Despesas'!I158</f>
        <v>0</v>
      </c>
      <c r="J217" s="23" t="str">
        <f aca="false">'Base Despesas'!H158</f>
        <v>À VISTA</v>
      </c>
    </row>
    <row r="218" customFormat="false" ht="15" hidden="false" customHeight="false" outlineLevel="0" collapsed="false">
      <c r="A218" s="23" t="s">
        <v>17</v>
      </c>
      <c r="B218" s="23" t="str">
        <f aca="false">'Base Despesas'!A159</f>
        <v>Maio</v>
      </c>
      <c r="C218" s="23" t="str">
        <f aca="false">'Base Despesas'!B159</f>
        <v>Administrativo</v>
      </c>
      <c r="D218" s="23" t="str">
        <f aca="false">'Base Despesas'!C159</f>
        <v>Medicina do trabalho</v>
      </c>
      <c r="E218" s="24" t="n">
        <f aca="false">'Base Despesas'!D159</f>
        <v>190</v>
      </c>
      <c r="F218" s="23" t="str">
        <f aca="false">'Base Despesas'!F159</f>
        <v>Boleto</v>
      </c>
      <c r="G218" s="23" t="str">
        <f aca="false">'Base Despesas'!G159</f>
        <v>PAGO</v>
      </c>
      <c r="H218" s="23" t="n">
        <f aca="false">'Base Despesas'!E159</f>
        <v>5</v>
      </c>
      <c r="I218" s="35" t="n">
        <f aca="false">'Base Despesas'!I159</f>
        <v>45992</v>
      </c>
      <c r="J218" s="23" t="str">
        <f aca="false">'Base Despesas'!H159</f>
        <v>À VISTA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563EB"/>
    <pageSetUpPr fitToPage="false"/>
  </sheetPr>
  <dimension ref="A1:L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0" activePane="bottomLeft" state="frozen"/>
      <selection pane="topLeft" activeCell="A1" activeCellId="0" sqref="A1"/>
      <selection pane="bottomLeft" activeCell="J39" activeCellId="0" sqref="J3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24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14"/>
    <col collapsed="false" customWidth="true" hidden="false" outlineLevel="0" max="7" min="7" style="1" width="24"/>
    <col collapsed="false" customWidth="true" hidden="false" outlineLevel="0" max="10" min="8" style="1" width="14"/>
    <col collapsed="false" customWidth="true" hidden="false" outlineLevel="0" max="11" min="11" style="1" width="16"/>
    <col collapsed="false" customWidth="true" hidden="false" outlineLevel="0" max="12" min="12" style="1" width="18"/>
  </cols>
  <sheetData>
    <row r="1" customFormat="false" ht="15" hidden="false" customHeight="false" outlineLevel="0" collapsed="false">
      <c r="A1" s="36" t="s">
        <v>51</v>
      </c>
      <c r="B1" s="36" t="s">
        <v>96</v>
      </c>
      <c r="C1" s="36" t="s">
        <v>62</v>
      </c>
      <c r="D1" s="36" t="s">
        <v>91</v>
      </c>
      <c r="E1" s="36" t="s">
        <v>93</v>
      </c>
      <c r="F1" s="36" t="s">
        <v>97</v>
      </c>
      <c r="G1" s="36" t="s">
        <v>98</v>
      </c>
      <c r="H1" s="36" t="s">
        <v>94</v>
      </c>
      <c r="I1" s="36" t="s">
        <v>92</v>
      </c>
      <c r="J1" s="36" t="s">
        <v>7</v>
      </c>
      <c r="K1" s="36" t="s">
        <v>99</v>
      </c>
      <c r="L1" s="36" t="s">
        <v>100</v>
      </c>
    </row>
    <row r="2" customFormat="false" ht="15" hidden="false" customHeight="false" outlineLevel="0" collapsed="false">
      <c r="A2" s="23" t="str">
        <f aca="false">'Base Receitas'!A2</f>
        <v>Janeiro</v>
      </c>
      <c r="B2" s="23" t="str">
        <f aca="false">'Base Receitas'!B2</f>
        <v>Receita recorrente</v>
      </c>
      <c r="C2" s="23" t="str">
        <f aca="false">'Base Receitas'!C2</f>
        <v>PROMPT</v>
      </c>
      <c r="D2" s="23" t="str">
        <f aca="false">'Base Receitas'!D2</f>
        <v>PIX </v>
      </c>
      <c r="E2" s="23" t="n">
        <f aca="false">'Base Receitas'!E2</f>
        <v>5</v>
      </c>
      <c r="F2" s="24" t="n">
        <f aca="false">'Base Receitas'!F2</f>
        <v>800</v>
      </c>
      <c r="G2" s="23" t="str">
        <f aca="false">'Base Receitas'!G2</f>
        <v>contrato  </v>
      </c>
      <c r="H2" s="35" t="n">
        <f aca="false">'Base Receitas'!H2</f>
        <v>45992</v>
      </c>
      <c r="I2" s="23" t="str">
        <f aca="false">'Base Receitas'!I2</f>
        <v>PAGO</v>
      </c>
      <c r="J2" s="24" t="n">
        <f aca="false">'Base Receitas'!J2</f>
        <v>0</v>
      </c>
      <c r="K2" s="23" t="str">
        <f aca="false">IF(B2="Receita recorrente","Recorrente","Pontual")</f>
        <v>Recorrente</v>
      </c>
      <c r="L2" s="23" t="str">
        <f aca="false">IF(J2&gt;0,"🔔 Cobrar","OK")</f>
        <v>OK</v>
      </c>
    </row>
    <row r="3" customFormat="false" ht="15" hidden="false" customHeight="false" outlineLevel="0" collapsed="false">
      <c r="A3" s="23" t="str">
        <f aca="false">'Base Receitas'!A3</f>
        <v>Janeiro</v>
      </c>
      <c r="B3" s="23" t="str">
        <f aca="false">'Base Receitas'!B3</f>
        <v>Receita recorrente</v>
      </c>
      <c r="C3" s="23" t="str">
        <f aca="false">'Base Receitas'!C3</f>
        <v>Atlas </v>
      </c>
      <c r="D3" s="23" t="str">
        <f aca="false">'Base Receitas'!D3</f>
        <v>Boleto / NF </v>
      </c>
      <c r="E3" s="23" t="n">
        <f aca="false">'Base Receitas'!E3</f>
        <v>5</v>
      </c>
      <c r="F3" s="24" t="n">
        <f aca="false">'Base Receitas'!F3</f>
        <v>1200</v>
      </c>
      <c r="G3" s="23" t="str">
        <f aca="false">'Base Receitas'!G3</f>
        <v>parcela 2/4</v>
      </c>
      <c r="H3" s="35" t="n">
        <f aca="false">'Base Receitas'!H3</f>
        <v>45992</v>
      </c>
      <c r="I3" s="23" t="str">
        <f aca="false">'Base Receitas'!I3</f>
        <v>PAGO</v>
      </c>
      <c r="J3" s="24" t="n">
        <f aca="false">'Base Receitas'!J3</f>
        <v>0</v>
      </c>
      <c r="K3" s="23" t="str">
        <f aca="false">IF(B3="Receita recorrente","Recorrente","Pontual")</f>
        <v>Recorrente</v>
      </c>
      <c r="L3" s="23" t="str">
        <f aca="false">IF(J3&gt;0,"🔔 Cobrar","OK")</f>
        <v>OK</v>
      </c>
    </row>
    <row r="4" customFormat="false" ht="15" hidden="false" customHeight="false" outlineLevel="0" collapsed="false">
      <c r="A4" s="23" t="str">
        <f aca="false">'Base Receitas'!A4</f>
        <v>Janeiro</v>
      </c>
      <c r="B4" s="23" t="str">
        <f aca="false">'Base Receitas'!B4</f>
        <v>Receita recorrente</v>
      </c>
      <c r="C4" s="23" t="str">
        <f aca="false">'Base Receitas'!C4</f>
        <v>Promanage</v>
      </c>
      <c r="D4" s="23" t="str">
        <f aca="false">'Base Receitas'!D4</f>
        <v>Boleto / NF </v>
      </c>
      <c r="E4" s="23" t="n">
        <f aca="false">'Base Receitas'!E4</f>
        <v>5</v>
      </c>
      <c r="F4" s="24" t="n">
        <f aca="false">'Base Receitas'!F4</f>
        <v>750</v>
      </c>
      <c r="G4" s="23" t="str">
        <f aca="false">'Base Receitas'!G4</f>
        <v>parcela 2/4</v>
      </c>
      <c r="H4" s="35" t="n">
        <f aca="false">'Base Receitas'!H4</f>
        <v>46023</v>
      </c>
      <c r="I4" s="23" t="str">
        <f aca="false">'Base Receitas'!I4</f>
        <v>PAGO</v>
      </c>
      <c r="J4" s="24" t="n">
        <f aca="false">'Base Receitas'!J4</f>
        <v>0</v>
      </c>
      <c r="K4" s="23" t="str">
        <f aca="false">IF(B4="Receita recorrente","Recorrente","Pontual")</f>
        <v>Recorrente</v>
      </c>
      <c r="L4" s="23" t="str">
        <f aca="false">IF(J4&gt;0,"🔔 Cobrar","OK")</f>
        <v>OK</v>
      </c>
    </row>
    <row r="5" customFormat="false" ht="15" hidden="false" customHeight="false" outlineLevel="0" collapsed="false">
      <c r="A5" s="23" t="str">
        <f aca="false">'Base Receitas'!A5</f>
        <v>Janeiro</v>
      </c>
      <c r="B5" s="23" t="str">
        <f aca="false">'Base Receitas'!B5</f>
        <v>Receita recorrente</v>
      </c>
      <c r="C5" s="23" t="str">
        <f aca="false">'Base Receitas'!C5</f>
        <v>Eletrotec</v>
      </c>
      <c r="D5" s="23" t="str">
        <f aca="false">'Base Receitas'!D5</f>
        <v>Boleto / NF </v>
      </c>
      <c r="E5" s="23" t="n">
        <f aca="false">'Base Receitas'!E5</f>
        <v>6</v>
      </c>
      <c r="F5" s="24" t="n">
        <f aca="false">'Base Receitas'!F5</f>
        <v>2000</v>
      </c>
      <c r="G5" s="23" t="str">
        <f aca="false">'Base Receitas'!G5</f>
        <v>parcela 1/1</v>
      </c>
      <c r="H5" s="35" t="n">
        <f aca="false">'Base Receitas'!H5</f>
        <v>46023</v>
      </c>
      <c r="I5" s="23" t="str">
        <f aca="false">'Base Receitas'!I5</f>
        <v>PAGO</v>
      </c>
      <c r="J5" s="24" t="n">
        <f aca="false">'Base Receitas'!J5</f>
        <v>0</v>
      </c>
      <c r="K5" s="23" t="str">
        <f aca="false">IF(B5="Receita recorrente","Recorrente","Pontual")</f>
        <v>Recorrente</v>
      </c>
      <c r="L5" s="23" t="str">
        <f aca="false">IF(J5&gt;0,"🔔 Cobrar","OK")</f>
        <v>OK</v>
      </c>
    </row>
    <row r="6" customFormat="false" ht="15" hidden="false" customHeight="false" outlineLevel="0" collapsed="false">
      <c r="A6" s="23" t="str">
        <f aca="false">'Base Receitas'!A6</f>
        <v>Janeiro</v>
      </c>
      <c r="B6" s="23" t="str">
        <f aca="false">'Base Receitas'!B6</f>
        <v>Receita recorrente</v>
      </c>
      <c r="C6" s="23" t="str">
        <f aca="false">'Base Receitas'!C6</f>
        <v>Granitos Moredo</v>
      </c>
      <c r="D6" s="23" t="str">
        <f aca="false">'Base Receitas'!D6</f>
        <v>Boleto / NF</v>
      </c>
      <c r="E6" s="23" t="n">
        <f aca="false">'Base Receitas'!E6</f>
        <v>10</v>
      </c>
      <c r="F6" s="24" t="n">
        <f aca="false">'Base Receitas'!F6</f>
        <v>2500</v>
      </c>
      <c r="G6" s="23" t="str">
        <f aca="false">'Base Receitas'!G6</f>
        <v>parcela 4/6</v>
      </c>
      <c r="H6" s="35" t="n">
        <f aca="false">'Base Receitas'!H6</f>
        <v>45992</v>
      </c>
      <c r="I6" s="23" t="str">
        <f aca="false">'Base Receitas'!I6</f>
        <v>PAGO</v>
      </c>
      <c r="J6" s="24" t="n">
        <f aca="false">'Base Receitas'!J6</f>
        <v>0</v>
      </c>
      <c r="K6" s="23" t="str">
        <f aca="false">IF(B6="Receita recorrente","Recorrente","Pontual")</f>
        <v>Recorrente</v>
      </c>
      <c r="L6" s="23" t="str">
        <f aca="false">IF(J6&gt;0,"🔔 Cobrar","OK")</f>
        <v>OK</v>
      </c>
    </row>
    <row r="7" customFormat="false" ht="15" hidden="false" customHeight="false" outlineLevel="0" collapsed="false">
      <c r="A7" s="23" t="str">
        <f aca="false">'Base Receitas'!A7</f>
        <v>Janeiro</v>
      </c>
      <c r="B7" s="23" t="str">
        <f aca="false">'Base Receitas'!B7</f>
        <v>Receita recorrente</v>
      </c>
      <c r="C7" s="23" t="str">
        <f aca="false">'Base Receitas'!C7</f>
        <v>Kontainers </v>
      </c>
      <c r="D7" s="23" t="str">
        <f aca="false">'Base Receitas'!D7</f>
        <v>Boleto / NF </v>
      </c>
      <c r="E7" s="23" t="n">
        <f aca="false">'Base Receitas'!E7</f>
        <v>12</v>
      </c>
      <c r="F7" s="24" t="n">
        <f aca="false">'Base Receitas'!F7</f>
        <v>1500</v>
      </c>
      <c r="G7" s="23" t="str">
        <f aca="false">'Base Receitas'!G7</f>
        <v>contrato  </v>
      </c>
      <c r="H7" s="35" t="n">
        <f aca="false">'Base Receitas'!H7</f>
        <v>46023</v>
      </c>
      <c r="I7" s="23" t="str">
        <f aca="false">'Base Receitas'!I7</f>
        <v>PAGO</v>
      </c>
      <c r="J7" s="24" t="n">
        <f aca="false">'Base Receitas'!J7</f>
        <v>0</v>
      </c>
      <c r="K7" s="23" t="str">
        <f aca="false">IF(B7="Receita recorrente","Recorrente","Pontual")</f>
        <v>Recorrente</v>
      </c>
      <c r="L7" s="23" t="str">
        <f aca="false">IF(J7&gt;0,"🔔 Cobrar","OK")</f>
        <v>OK</v>
      </c>
    </row>
    <row r="8" customFormat="false" ht="15" hidden="false" customHeight="false" outlineLevel="0" collapsed="false">
      <c r="A8" s="23" t="str">
        <f aca="false">'Base Receitas'!A8</f>
        <v>Janeiro</v>
      </c>
      <c r="B8" s="23" t="str">
        <f aca="false">'Base Receitas'!B8</f>
        <v>Receita recorrente</v>
      </c>
      <c r="C8" s="23" t="str">
        <f aca="false">'Base Receitas'!C8</f>
        <v>FreePort </v>
      </c>
      <c r="D8" s="23" t="str">
        <f aca="false">'Base Receitas'!D8</f>
        <v>PIX / NF  </v>
      </c>
      <c r="E8" s="23" t="n">
        <f aca="false">'Base Receitas'!E8</f>
        <v>16</v>
      </c>
      <c r="F8" s="24" t="n">
        <f aca="false">'Base Receitas'!F8</f>
        <v>600</v>
      </c>
      <c r="G8" s="23" t="str">
        <f aca="false">'Base Receitas'!G8</f>
        <v>contrato  </v>
      </c>
      <c r="H8" s="35" t="n">
        <f aca="false">'Base Receitas'!H8</f>
        <v>46023</v>
      </c>
      <c r="I8" s="23" t="str">
        <f aca="false">'Base Receitas'!I8</f>
        <v>PAGO</v>
      </c>
      <c r="J8" s="24" t="n">
        <f aca="false">'Base Receitas'!J8</f>
        <v>0</v>
      </c>
      <c r="K8" s="23" t="str">
        <f aca="false">IF(B8="Receita recorrente","Recorrente","Pontual")</f>
        <v>Recorrente</v>
      </c>
      <c r="L8" s="23" t="str">
        <f aca="false">IF(J8&gt;0,"🔔 Cobrar","OK")</f>
        <v>OK</v>
      </c>
    </row>
    <row r="9" customFormat="false" ht="15" hidden="false" customHeight="false" outlineLevel="0" collapsed="false">
      <c r="A9" s="23" t="str">
        <f aca="false">'Base Receitas'!A9</f>
        <v>Janeiro</v>
      </c>
      <c r="B9" s="23" t="str">
        <f aca="false">'Base Receitas'!B9</f>
        <v>Receita recorrente</v>
      </c>
      <c r="C9" s="23" t="str">
        <f aca="false">'Base Receitas'!C9</f>
        <v>Fernet</v>
      </c>
      <c r="D9" s="23" t="str">
        <f aca="false">'Base Receitas'!D9</f>
        <v>Boleto/Nf</v>
      </c>
      <c r="E9" s="23" t="n">
        <f aca="false">'Base Receitas'!E9</f>
        <v>25</v>
      </c>
      <c r="F9" s="24" t="n">
        <f aca="false">'Base Receitas'!F9</f>
        <v>1200</v>
      </c>
      <c r="G9" s="23" t="str">
        <f aca="false">'Base Receitas'!G9</f>
        <v>PARCELA 1/4</v>
      </c>
      <c r="H9" s="23" t="n">
        <f aca="false">'Base Receitas'!H9</f>
        <v>0</v>
      </c>
      <c r="I9" s="23" t="str">
        <f aca="false">'Base Receitas'!I9</f>
        <v>PAGO</v>
      </c>
      <c r="J9" s="24" t="n">
        <f aca="false">'Base Receitas'!J9</f>
        <v>0</v>
      </c>
      <c r="K9" s="23" t="str">
        <f aca="false">IF(B9="Receita recorrente","Recorrente","Pontual")</f>
        <v>Recorrente</v>
      </c>
      <c r="L9" s="23" t="str">
        <f aca="false">IF(J9&gt;0,"🔔 Cobrar","OK")</f>
        <v>OK</v>
      </c>
    </row>
    <row r="10" customFormat="false" ht="15" hidden="false" customHeight="false" outlineLevel="0" collapsed="false">
      <c r="A10" s="23" t="str">
        <f aca="false">'Base Receitas'!A10</f>
        <v>Janeiro</v>
      </c>
      <c r="B10" s="23" t="str">
        <f aca="false">'Base Receitas'!B10</f>
        <v>Receita recorrente</v>
      </c>
      <c r="C10" s="23" t="str">
        <f aca="false">'Base Receitas'!C10</f>
        <v>Mardon Eng.Murilo</v>
      </c>
      <c r="D10" s="23" t="str">
        <f aca="false">'Base Receitas'!D10</f>
        <v>Pix</v>
      </c>
      <c r="E10" s="23" t="n">
        <f aca="false">'Base Receitas'!E10</f>
        <v>0</v>
      </c>
      <c r="F10" s="24" t="n">
        <f aca="false">'Base Receitas'!F10</f>
        <v>2500</v>
      </c>
      <c r="G10" s="23" t="n">
        <f aca="false">'Base Receitas'!G10</f>
        <v>0</v>
      </c>
      <c r="H10" s="23" t="n">
        <f aca="false">'Base Receitas'!H10</f>
        <v>0</v>
      </c>
      <c r="I10" s="23" t="str">
        <f aca="false">'Base Receitas'!I10</f>
        <v>PENDENTE</v>
      </c>
      <c r="J10" s="24" t="n">
        <f aca="false">'Base Receitas'!J10</f>
        <v>0</v>
      </c>
      <c r="K10" s="23" t="str">
        <f aca="false">IF(B10="Receita recorrente","Recorrente","Pontual")</f>
        <v>Recorrente</v>
      </c>
      <c r="L10" s="23" t="str">
        <f aca="false">IF(J10&gt;0,"🔔 Cobrar","OK")</f>
        <v>OK</v>
      </c>
    </row>
    <row r="11" customFormat="false" ht="15" hidden="false" customHeight="false" outlineLevel="0" collapsed="false">
      <c r="A11" s="23" t="str">
        <f aca="false">'Base Receitas'!A11</f>
        <v>Janeiro</v>
      </c>
      <c r="B11" s="23" t="str">
        <f aca="false">'Base Receitas'!B11</f>
        <v>Receita recorrente</v>
      </c>
      <c r="C11" s="23" t="str">
        <f aca="false">'Base Receitas'!C11</f>
        <v>Hygge Games Intern. </v>
      </c>
      <c r="D11" s="23" t="str">
        <f aca="false">'Base Receitas'!D11</f>
        <v>Invoice </v>
      </c>
      <c r="E11" s="23" t="n">
        <f aca="false">'Base Receitas'!E11</f>
        <v>25</v>
      </c>
      <c r="F11" s="24" t="n">
        <f aca="false">'Base Receitas'!F11</f>
        <v>2000</v>
      </c>
      <c r="G11" s="23" t="str">
        <f aca="false">'Base Receitas'!G11</f>
        <v>contrato  </v>
      </c>
      <c r="H11" s="35" t="n">
        <f aca="false">'Base Receitas'!H11</f>
        <v>45992</v>
      </c>
      <c r="I11" s="23" t="str">
        <f aca="false">'Base Receitas'!I11</f>
        <v>PENDENTE</v>
      </c>
      <c r="J11" s="24" t="n">
        <f aca="false">'Base Receitas'!J11</f>
        <v>0</v>
      </c>
      <c r="K11" s="23" t="str">
        <f aca="false">IF(B11="Receita recorrente","Recorrente","Pontual")</f>
        <v>Recorrente</v>
      </c>
      <c r="L11" s="23" t="str">
        <f aca="false">IF(J11&gt;0,"🔔 Cobrar","OK")</f>
        <v>OK</v>
      </c>
    </row>
    <row r="12" customFormat="false" ht="15" hidden="false" customHeight="false" outlineLevel="0" collapsed="false">
      <c r="A12" s="23" t="str">
        <f aca="false">'Base Receitas'!A12</f>
        <v>Janeiro</v>
      </c>
      <c r="B12" s="23" t="str">
        <f aca="false">'Base Receitas'!B12</f>
        <v>Receita recorrente</v>
      </c>
      <c r="C12" s="23" t="str">
        <f aca="false">'Base Receitas'!C12</f>
        <v>Redomo Energia </v>
      </c>
      <c r="D12" s="23" t="str">
        <f aca="false">'Base Receitas'!D12</f>
        <v>Boleto / NF  </v>
      </c>
      <c r="E12" s="23" t="n">
        <f aca="false">'Base Receitas'!E12</f>
        <v>25</v>
      </c>
      <c r="F12" s="24" t="n">
        <f aca="false">'Base Receitas'!F12</f>
        <v>1350</v>
      </c>
      <c r="G12" s="23" t="str">
        <f aca="false">'Base Receitas'!G12</f>
        <v>contrato  </v>
      </c>
      <c r="H12" s="35" t="n">
        <f aca="false">'Base Receitas'!H12</f>
        <v>45992</v>
      </c>
      <c r="I12" s="23" t="str">
        <f aca="false">'Base Receitas'!I12</f>
        <v>PAGO</v>
      </c>
      <c r="J12" s="24" t="n">
        <f aca="false">'Base Receitas'!J12</f>
        <v>0</v>
      </c>
      <c r="K12" s="23" t="str">
        <f aca="false">IF(B12="Receita recorrente","Recorrente","Pontual")</f>
        <v>Recorrente</v>
      </c>
      <c r="L12" s="23" t="str">
        <f aca="false">IF(J12&gt;0,"🔔 Cobrar","OK")</f>
        <v>OK</v>
      </c>
    </row>
    <row r="13" customFormat="false" ht="15" hidden="false" customHeight="false" outlineLevel="0" collapsed="false">
      <c r="A13" s="23" t="str">
        <f aca="false">'Base Receitas'!A13</f>
        <v>Janeiro</v>
      </c>
      <c r="B13" s="23" t="str">
        <f aca="false">'Base Receitas'!B13</f>
        <v>Receita recorrente</v>
      </c>
      <c r="C13" s="23" t="str">
        <f aca="false">'Base Receitas'!C13</f>
        <v>ADRIFER</v>
      </c>
      <c r="D13" s="23" t="str">
        <f aca="false">'Base Receitas'!D13</f>
        <v>Boleto / NF</v>
      </c>
      <c r="E13" s="23" t="n">
        <f aca="false">'Base Receitas'!E13</f>
        <v>25</v>
      </c>
      <c r="F13" s="24" t="n">
        <f aca="false">'Base Receitas'!F13</f>
        <v>1900</v>
      </c>
      <c r="G13" s="23" t="str">
        <f aca="false">'Base Receitas'!G13</f>
        <v>parcela 3/3</v>
      </c>
      <c r="H13" s="35" t="n">
        <f aca="false">'Base Receitas'!H13</f>
        <v>46023</v>
      </c>
      <c r="I13" s="23" t="str">
        <f aca="false">'Base Receitas'!I13</f>
        <v>PAGO</v>
      </c>
      <c r="J13" s="24" t="n">
        <f aca="false">'Base Receitas'!J13</f>
        <v>0</v>
      </c>
      <c r="K13" s="23" t="str">
        <f aca="false">IF(B13="Receita recorrente","Recorrente","Pontual")</f>
        <v>Recorrente</v>
      </c>
      <c r="L13" s="23" t="str">
        <f aca="false">IF(J13&gt;0,"🔔 Cobrar","OK")</f>
        <v>OK</v>
      </c>
    </row>
    <row r="14" customFormat="false" ht="15" hidden="false" customHeight="false" outlineLevel="0" collapsed="false">
      <c r="A14" s="23" t="str">
        <f aca="false">'Base Receitas'!A14</f>
        <v>Janeiro</v>
      </c>
      <c r="B14" s="23" t="str">
        <f aca="false">'Base Receitas'!B14</f>
        <v>Receita recorrente</v>
      </c>
      <c r="C14" s="23" t="str">
        <f aca="false">'Base Receitas'!C14</f>
        <v>Agência CMA </v>
      </c>
      <c r="D14" s="23" t="str">
        <f aca="false">'Base Receitas'!D14</f>
        <v>PIX / NF</v>
      </c>
      <c r="E14" s="23" t="n">
        <f aca="false">'Base Receitas'!E14</f>
        <v>30</v>
      </c>
      <c r="F14" s="24" t="n">
        <f aca="false">'Base Receitas'!F14</f>
        <v>4500</v>
      </c>
      <c r="G14" s="23" t="n">
        <f aca="false">'Base Receitas'!G14</f>
        <v>0</v>
      </c>
      <c r="H14" s="35" t="n">
        <f aca="false">'Base Receitas'!H14</f>
        <v>46023</v>
      </c>
      <c r="I14" s="23" t="str">
        <f aca="false">'Base Receitas'!I14</f>
        <v>PAGO</v>
      </c>
      <c r="J14" s="24" t="n">
        <f aca="false">'Base Receitas'!J14</f>
        <v>0</v>
      </c>
      <c r="K14" s="23" t="str">
        <f aca="false">IF(B14="Receita recorrente","Recorrente","Pontual")</f>
        <v>Recorrente</v>
      </c>
      <c r="L14" s="23" t="str">
        <f aca="false">IF(J14&gt;0,"🔔 Cobrar","OK")</f>
        <v>OK</v>
      </c>
    </row>
    <row r="15" customFormat="false" ht="15" hidden="false" customHeight="false" outlineLevel="0" collapsed="false">
      <c r="A15" s="23" t="str">
        <f aca="false">'Base Receitas'!A15</f>
        <v>Janeiro</v>
      </c>
      <c r="B15" s="23" t="str">
        <f aca="false">'Base Receitas'!B15</f>
        <v>Receita recorrente</v>
      </c>
      <c r="C15" s="23" t="n">
        <f aca="false">'Base Receitas'!C15</f>
        <v>0</v>
      </c>
      <c r="D15" s="23" t="str">
        <f aca="false">'Base Receitas'!D15</f>
        <v>PIX</v>
      </c>
      <c r="E15" s="23" t="n">
        <f aca="false">'Base Receitas'!E15</f>
        <v>25</v>
      </c>
      <c r="F15" s="24" t="n">
        <f aca="false">'Base Receitas'!F15</f>
        <v>0</v>
      </c>
      <c r="G15" s="23" t="n">
        <f aca="false">'Base Receitas'!G15</f>
        <v>0</v>
      </c>
      <c r="H15" s="23" t="n">
        <f aca="false">'Base Receitas'!H15</f>
        <v>0</v>
      </c>
      <c r="I15" s="23" t="n">
        <f aca="false">'Base Receitas'!I15</f>
        <v>0</v>
      </c>
      <c r="J15" s="24" t="n">
        <f aca="false">'Base Receitas'!J15</f>
        <v>1500</v>
      </c>
      <c r="K15" s="23" t="str">
        <f aca="false">IF(B15="Receita recorrente","Recorrente","Pontual")</f>
        <v>Recorrente</v>
      </c>
      <c r="L15" s="23" t="str">
        <f aca="false">IF(J15&gt;0,"🔔 Cobrar","OK")</f>
        <v>🔔 Cobrar</v>
      </c>
    </row>
    <row r="16" customFormat="false" ht="15" hidden="false" customHeight="false" outlineLevel="0" collapsed="false">
      <c r="A16" s="23" t="str">
        <f aca="false">'Base Receitas'!A16</f>
        <v>Janeiro</v>
      </c>
      <c r="B16" s="23" t="str">
        <f aca="false">'Base Receitas'!B16</f>
        <v>Receita recorrente</v>
      </c>
      <c r="C16" s="23" t="str">
        <f aca="false">'Base Receitas'!C16</f>
        <v>CMA - Dra Flávia</v>
      </c>
      <c r="D16" s="23" t="str">
        <f aca="false">'Base Receitas'!D16</f>
        <v>PIX  / NF </v>
      </c>
      <c r="E16" s="23" t="n">
        <f aca="false">'Base Receitas'!E16</f>
        <v>30</v>
      </c>
      <c r="F16" s="24" t="n">
        <f aca="false">'Base Receitas'!F16</f>
        <v>1360</v>
      </c>
      <c r="G16" s="23" t="str">
        <f aca="false">'Base Receitas'!G16</f>
        <v>parcela 4/12</v>
      </c>
      <c r="H16" s="35" t="n">
        <f aca="false">'Base Receitas'!H16</f>
        <v>46023</v>
      </c>
      <c r="I16" s="23" t="str">
        <f aca="false">'Base Receitas'!I16</f>
        <v>PAGO</v>
      </c>
      <c r="J16" s="24" t="n">
        <f aca="false">'Base Receitas'!J16</f>
        <v>0</v>
      </c>
      <c r="K16" s="23" t="str">
        <f aca="false">IF(B16="Receita recorrente","Recorrente","Pontual")</f>
        <v>Recorrente</v>
      </c>
      <c r="L16" s="23" t="str">
        <f aca="false">IF(J16&gt;0,"🔔 Cobrar","OK")</f>
        <v>OK</v>
      </c>
    </row>
    <row r="17" customFormat="false" ht="15" hidden="false" customHeight="false" outlineLevel="0" collapsed="false">
      <c r="A17" s="23" t="str">
        <f aca="false">'Base Receitas'!A17</f>
        <v>Janeiro</v>
      </c>
      <c r="B17" s="23" t="str">
        <f aca="false">'Base Receitas'!B17</f>
        <v>Receita recorrente</v>
      </c>
      <c r="C17" s="23" t="str">
        <f aca="false">'Base Receitas'!C17</f>
        <v>ELAGE AÇAI</v>
      </c>
      <c r="D17" s="23" t="str">
        <f aca="false">'Base Receitas'!D17</f>
        <v>PIX /  NF</v>
      </c>
      <c r="E17" s="23" t="n">
        <f aca="false">'Base Receitas'!E17</f>
        <v>30</v>
      </c>
      <c r="F17" s="24" t="n">
        <f aca="false">'Base Receitas'!F17</f>
        <v>2000</v>
      </c>
      <c r="G17" s="23" t="str">
        <f aca="false">'Base Receitas'!G17</f>
        <v>parcela 1/6</v>
      </c>
      <c r="H17" s="35" t="n">
        <f aca="false">'Base Receitas'!H17</f>
        <v>46023</v>
      </c>
      <c r="I17" s="23" t="str">
        <f aca="false">'Base Receitas'!I17</f>
        <v>PENDENTE</v>
      </c>
      <c r="J17" s="24" t="n">
        <f aca="false">'Base Receitas'!J17</f>
        <v>0</v>
      </c>
      <c r="K17" s="23" t="str">
        <f aca="false">IF(B17="Receita recorrente","Recorrente","Pontual")</f>
        <v>Recorrente</v>
      </c>
      <c r="L17" s="23" t="str">
        <f aca="false">IF(J17&gt;0,"🔔 Cobrar","OK")</f>
        <v>OK</v>
      </c>
    </row>
    <row r="18" customFormat="false" ht="15" hidden="false" customHeight="false" outlineLevel="0" collapsed="false">
      <c r="A18" s="23" t="str">
        <f aca="false">'Base Receitas'!A18</f>
        <v>Janeiro</v>
      </c>
      <c r="B18" s="23" t="str">
        <f aca="false">'Base Receitas'!B18</f>
        <v>Receita recorrente</v>
      </c>
      <c r="C18" s="23" t="str">
        <f aca="false">'Base Receitas'!C18</f>
        <v>Hygge Games </v>
      </c>
      <c r="D18" s="23" t="str">
        <f aca="false">'Base Receitas'!D18</f>
        <v>Boleto / NF </v>
      </c>
      <c r="E18" s="23" t="n">
        <f aca="false">'Base Receitas'!E18</f>
        <v>28</v>
      </c>
      <c r="F18" s="24" t="n">
        <f aca="false">'Base Receitas'!F18</f>
        <v>750</v>
      </c>
      <c r="G18" s="23" t="str">
        <f aca="false">'Base Receitas'!G18</f>
        <v>contrato  </v>
      </c>
      <c r="H18" s="35" t="n">
        <f aca="false">'Base Receitas'!H18</f>
        <v>46023</v>
      </c>
      <c r="I18" s="23" t="str">
        <f aca="false">'Base Receitas'!I18</f>
        <v>PAGO</v>
      </c>
      <c r="J18" s="24" t="n">
        <f aca="false">'Base Receitas'!J18</f>
        <v>0</v>
      </c>
      <c r="K18" s="23" t="str">
        <f aca="false">IF(B18="Receita recorrente","Recorrente","Pontual")</f>
        <v>Recorrente</v>
      </c>
      <c r="L18" s="23" t="str">
        <f aca="false">IF(J18&gt;0,"🔔 Cobrar","OK")</f>
        <v>OK</v>
      </c>
    </row>
    <row r="19" customFormat="false" ht="15" hidden="false" customHeight="false" outlineLevel="0" collapsed="false">
      <c r="A19" s="23" t="str">
        <f aca="false">'Base Receitas'!A19</f>
        <v>Janeiro</v>
      </c>
      <c r="B19" s="23" t="str">
        <f aca="false">'Base Receitas'!B19</f>
        <v>Receita recorrente</v>
      </c>
      <c r="C19" s="23" t="str">
        <f aca="false">'Base Receitas'!C19</f>
        <v>STS </v>
      </c>
      <c r="D19" s="23" t="str">
        <f aca="false">'Base Receitas'!D19</f>
        <v>Boleto / NF </v>
      </c>
      <c r="E19" s="23" t="n">
        <f aca="false">'Base Receitas'!E19</f>
        <v>30</v>
      </c>
      <c r="F19" s="24" t="n">
        <f aca="false">'Base Receitas'!F19</f>
        <v>0</v>
      </c>
      <c r="G19" s="23" t="str">
        <f aca="false">'Base Receitas'!G19</f>
        <v>contrato  </v>
      </c>
      <c r="H19" s="35" t="n">
        <f aca="false">'Base Receitas'!H19</f>
        <v>46023</v>
      </c>
      <c r="I19" s="23" t="n">
        <f aca="false">'Base Receitas'!I19</f>
        <v>0</v>
      </c>
      <c r="J19" s="24" t="n">
        <f aca="false">'Base Receitas'!J19</f>
        <v>0</v>
      </c>
      <c r="K19" s="23" t="str">
        <f aca="false">IF(B19="Receita recorrente","Recorrente","Pontual")</f>
        <v>Recorrente</v>
      </c>
      <c r="L19" s="23" t="str">
        <f aca="false">IF(J19&gt;0,"🔔 Cobrar","OK")</f>
        <v>OK</v>
      </c>
    </row>
    <row r="20" customFormat="false" ht="15" hidden="false" customHeight="false" outlineLevel="0" collapsed="false">
      <c r="A20" s="23" t="str">
        <f aca="false">'Base Receitas'!A20</f>
        <v>Janeiro</v>
      </c>
      <c r="B20" s="23" t="str">
        <f aca="false">'Base Receitas'!B20</f>
        <v>Receita recorrente</v>
      </c>
      <c r="C20" s="23" t="str">
        <f aca="false">'Base Receitas'!C20</f>
        <v>Cemitério Cantareira </v>
      </c>
      <c r="D20" s="23" t="str">
        <f aca="false">'Base Receitas'!D20</f>
        <v>Boleto</v>
      </c>
      <c r="E20" s="23" t="n">
        <f aca="false">'Base Receitas'!E20</f>
        <v>30</v>
      </c>
      <c r="F20" s="24" t="n">
        <f aca="false">'Base Receitas'!F20</f>
        <v>2750</v>
      </c>
      <c r="G20" s="23" t="str">
        <f aca="false">'Base Receitas'!G20</f>
        <v>contrato  </v>
      </c>
      <c r="H20" s="35" t="n">
        <f aca="false">'Base Receitas'!H20</f>
        <v>46023</v>
      </c>
      <c r="I20" s="23" t="str">
        <f aca="false">'Base Receitas'!I20</f>
        <v>PAGO</v>
      </c>
      <c r="J20" s="24" t="n">
        <f aca="false">'Base Receitas'!J20</f>
        <v>0</v>
      </c>
      <c r="K20" s="23" t="str">
        <f aca="false">IF(B20="Receita recorrente","Recorrente","Pontual")</f>
        <v>Recorrente</v>
      </c>
      <c r="L20" s="23" t="str">
        <f aca="false">IF(J20&gt;0,"🔔 Cobrar","OK")</f>
        <v>OK</v>
      </c>
    </row>
    <row r="21" customFormat="false" ht="15" hidden="false" customHeight="false" outlineLevel="0" collapsed="false">
      <c r="A21" s="23" t="str">
        <f aca="false">'Base Receitas'!A21</f>
        <v>Janeiro</v>
      </c>
      <c r="B21" s="23" t="str">
        <f aca="false">'Base Receitas'!B21</f>
        <v>Receita recorrente</v>
      </c>
      <c r="C21" s="23" t="str">
        <f aca="false">'Base Receitas'!C21</f>
        <v>Daju Restaurante </v>
      </c>
      <c r="D21" s="23" t="str">
        <f aca="false">'Base Receitas'!D21</f>
        <v>PIX  / NF </v>
      </c>
      <c r="E21" s="23" t="n">
        <f aca="false">'Base Receitas'!E21</f>
        <v>30</v>
      </c>
      <c r="F21" s="24" t="n">
        <f aca="false">'Base Receitas'!F21</f>
        <v>600</v>
      </c>
      <c r="G21" s="23" t="str">
        <f aca="false">'Base Receitas'!G21</f>
        <v>contrato  </v>
      </c>
      <c r="H21" s="35" t="n">
        <f aca="false">'Base Receitas'!H21</f>
        <v>46023</v>
      </c>
      <c r="I21" s="23" t="str">
        <f aca="false">'Base Receitas'!I21</f>
        <v>PENDENTE</v>
      </c>
      <c r="J21" s="24" t="n">
        <f aca="false">'Base Receitas'!J21</f>
        <v>0</v>
      </c>
      <c r="K21" s="23" t="str">
        <f aca="false">IF(B21="Receita recorrente","Recorrente","Pontual")</f>
        <v>Recorrente</v>
      </c>
      <c r="L21" s="23" t="str">
        <f aca="false">IF(J21&gt;0,"🔔 Cobrar","OK")</f>
        <v>OK</v>
      </c>
    </row>
    <row r="22" customFormat="false" ht="15" hidden="false" customHeight="false" outlineLevel="0" collapsed="false">
      <c r="A22" s="23" t="str">
        <f aca="false">'Base Receitas'!A22</f>
        <v>Fevereiro</v>
      </c>
      <c r="B22" s="23" t="str">
        <f aca="false">'Base Receitas'!B22</f>
        <v>Receita recorrente</v>
      </c>
      <c r="C22" s="23" t="str">
        <f aca="false">'Base Receitas'!C22</f>
        <v>PROMPT</v>
      </c>
      <c r="D22" s="23" t="str">
        <f aca="false">'Base Receitas'!D22</f>
        <v>PIX </v>
      </c>
      <c r="E22" s="23" t="n">
        <f aca="false">'Base Receitas'!E22</f>
        <v>5</v>
      </c>
      <c r="F22" s="24" t="n">
        <f aca="false">'Base Receitas'!F22</f>
        <v>800</v>
      </c>
      <c r="G22" s="23" t="str">
        <f aca="false">'Base Receitas'!G22</f>
        <v>contrato  </v>
      </c>
      <c r="H22" s="35" t="n">
        <f aca="false">'Base Receitas'!H22</f>
        <v>46023</v>
      </c>
      <c r="I22" s="23" t="str">
        <f aca="false">'Base Receitas'!I22</f>
        <v>PENDENTE</v>
      </c>
      <c r="J22" s="24" t="n">
        <f aca="false">'Base Receitas'!J22</f>
        <v>0</v>
      </c>
      <c r="K22" s="23" t="str">
        <f aca="false">IF(B22="Receita recorrente","Recorrente","Pontual")</f>
        <v>Recorrente</v>
      </c>
      <c r="L22" s="23" t="str">
        <f aca="false">IF(J22&gt;0,"🔔 Cobrar","OK")</f>
        <v>OK</v>
      </c>
    </row>
    <row r="23" customFormat="false" ht="15" hidden="false" customHeight="false" outlineLevel="0" collapsed="false">
      <c r="A23" s="23" t="str">
        <f aca="false">'Base Receitas'!A23</f>
        <v>Fevereiro</v>
      </c>
      <c r="B23" s="23" t="str">
        <f aca="false">'Base Receitas'!B23</f>
        <v>Receita recorrente</v>
      </c>
      <c r="C23" s="23" t="str">
        <f aca="false">'Base Receitas'!C23</f>
        <v>Atlas </v>
      </c>
      <c r="D23" s="23" t="str">
        <f aca="false">'Base Receitas'!D23</f>
        <v>Boleto / NF </v>
      </c>
      <c r="E23" s="23" t="n">
        <f aca="false">'Base Receitas'!E23</f>
        <v>5</v>
      </c>
      <c r="F23" s="24" t="n">
        <f aca="false">'Base Receitas'!F23</f>
        <v>1200</v>
      </c>
      <c r="G23" s="23" t="str">
        <f aca="false">'Base Receitas'!G23</f>
        <v>parcela 3/4</v>
      </c>
      <c r="H23" s="35" t="n">
        <f aca="false">'Base Receitas'!H23</f>
        <v>46023</v>
      </c>
      <c r="I23" s="23" t="str">
        <f aca="false">'Base Receitas'!I23</f>
        <v>PAGO</v>
      </c>
      <c r="J23" s="24" t="n">
        <f aca="false">'Base Receitas'!J23</f>
        <v>0</v>
      </c>
      <c r="K23" s="23" t="str">
        <f aca="false">IF(B23="Receita recorrente","Recorrente","Pontual")</f>
        <v>Recorrente</v>
      </c>
      <c r="L23" s="23" t="str">
        <f aca="false">IF(J23&gt;0,"🔔 Cobrar","OK")</f>
        <v>OK</v>
      </c>
    </row>
    <row r="24" customFormat="false" ht="15" hidden="false" customHeight="false" outlineLevel="0" collapsed="false">
      <c r="A24" s="23" t="str">
        <f aca="false">'Base Receitas'!A24</f>
        <v>Fevereiro</v>
      </c>
      <c r="B24" s="23" t="str">
        <f aca="false">'Base Receitas'!B24</f>
        <v>Produto Adicional</v>
      </c>
      <c r="C24" s="23" t="n">
        <f aca="false">'Base Receitas'!C24</f>
        <v>0</v>
      </c>
      <c r="D24" s="23" t="str">
        <f aca="false">'Base Receitas'!D24</f>
        <v>Boleto / NF</v>
      </c>
      <c r="E24" s="23" t="n">
        <f aca="false">'Base Receitas'!E24</f>
        <v>5</v>
      </c>
      <c r="F24" s="24" t="n">
        <f aca="false">'Base Receitas'!F24</f>
        <v>0</v>
      </c>
      <c r="G24" s="23" t="n">
        <f aca="false">'Base Receitas'!G24</f>
        <v>0</v>
      </c>
      <c r="H24" s="23" t="n">
        <f aca="false">'Base Receitas'!H24</f>
        <v>0</v>
      </c>
      <c r="I24" s="23" t="n">
        <f aca="false">'Base Receitas'!I24</f>
        <v>0</v>
      </c>
      <c r="J24" s="24" t="n">
        <f aca="false">'Base Receitas'!J24</f>
        <v>0</v>
      </c>
      <c r="K24" s="23" t="str">
        <f aca="false">IF(B24="Receita recorrente","Recorrente","Pontual")</f>
        <v>Pontual</v>
      </c>
      <c r="L24" s="23" t="str">
        <f aca="false">IF(J24&gt;0,"🔔 Cobrar","OK")</f>
        <v>OK</v>
      </c>
    </row>
    <row r="25" customFormat="false" ht="15" hidden="false" customHeight="false" outlineLevel="0" collapsed="false">
      <c r="A25" s="23" t="str">
        <f aca="false">'Base Receitas'!A25</f>
        <v>Fevereiro</v>
      </c>
      <c r="B25" s="23" t="str">
        <f aca="false">'Base Receitas'!B25</f>
        <v>Produto Adicional</v>
      </c>
      <c r="C25" s="23" t="n">
        <f aca="false">'Base Receitas'!C25</f>
        <v>0</v>
      </c>
      <c r="D25" s="23" t="str">
        <f aca="false">'Base Receitas'!D25</f>
        <v>Boleto / NF</v>
      </c>
      <c r="E25" s="23" t="n">
        <f aca="false">'Base Receitas'!E25</f>
        <v>5</v>
      </c>
      <c r="F25" s="24" t="n">
        <f aca="false">'Base Receitas'!F25</f>
        <v>0</v>
      </c>
      <c r="G25" s="23" t="n">
        <f aca="false">'Base Receitas'!G25</f>
        <v>0</v>
      </c>
      <c r="H25" s="23" t="n">
        <f aca="false">'Base Receitas'!H25</f>
        <v>0</v>
      </c>
      <c r="I25" s="23" t="n">
        <f aca="false">'Base Receitas'!I25</f>
        <v>0</v>
      </c>
      <c r="J25" s="24" t="n">
        <f aca="false">'Base Receitas'!J25</f>
        <v>0</v>
      </c>
      <c r="K25" s="23" t="str">
        <f aca="false">IF(B25="Receita recorrente","Recorrente","Pontual")</f>
        <v>Pontual</v>
      </c>
      <c r="L25" s="23" t="str">
        <f aca="false">IF(J25&gt;0,"🔔 Cobrar","OK")</f>
        <v>OK</v>
      </c>
    </row>
    <row r="26" customFormat="false" ht="15" hidden="false" customHeight="false" outlineLevel="0" collapsed="false">
      <c r="A26" s="23" t="str">
        <f aca="false">'Base Receitas'!A26</f>
        <v>Fevereiro</v>
      </c>
      <c r="B26" s="23" t="str">
        <f aca="false">'Base Receitas'!B26</f>
        <v>Receita recorrente</v>
      </c>
      <c r="C26" s="23" t="str">
        <f aca="false">'Base Receitas'!C26</f>
        <v>Promanage</v>
      </c>
      <c r="D26" s="23" t="str">
        <f aca="false">'Base Receitas'!D26</f>
        <v>Boleto / NF </v>
      </c>
      <c r="E26" s="23" t="n">
        <f aca="false">'Base Receitas'!E26</f>
        <v>5</v>
      </c>
      <c r="F26" s="24" t="n">
        <f aca="false">'Base Receitas'!F26</f>
        <v>750</v>
      </c>
      <c r="G26" s="23" t="str">
        <f aca="false">'Base Receitas'!G26</f>
        <v>parcela 3/4</v>
      </c>
      <c r="H26" s="35" t="n">
        <f aca="false">'Base Receitas'!H26</f>
        <v>46054</v>
      </c>
      <c r="I26" s="23" t="str">
        <f aca="false">'Base Receitas'!I26</f>
        <v>PAGO</v>
      </c>
      <c r="J26" s="24" t="n">
        <f aca="false">'Base Receitas'!J26</f>
        <v>0</v>
      </c>
      <c r="K26" s="23" t="str">
        <f aca="false">IF(B26="Receita recorrente","Recorrente","Pontual")</f>
        <v>Recorrente</v>
      </c>
      <c r="L26" s="23" t="str">
        <f aca="false">IF(J26&gt;0,"🔔 Cobrar","OK")</f>
        <v>OK</v>
      </c>
    </row>
    <row r="27" customFormat="false" ht="15" hidden="false" customHeight="false" outlineLevel="0" collapsed="false">
      <c r="A27" s="23" t="str">
        <f aca="false">'Base Receitas'!A27</f>
        <v>Fevereiro</v>
      </c>
      <c r="B27" s="23" t="str">
        <f aca="false">'Base Receitas'!B27</f>
        <v>Receita recorrente</v>
      </c>
      <c r="C27" s="23" t="str">
        <f aca="false">'Base Receitas'!C27</f>
        <v>Eletrotec</v>
      </c>
      <c r="D27" s="23" t="str">
        <f aca="false">'Base Receitas'!D27</f>
        <v>Boleto / NF </v>
      </c>
      <c r="E27" s="23" t="n">
        <f aca="false">'Base Receitas'!E27</f>
        <v>6</v>
      </c>
      <c r="F27" s="24" t="n">
        <f aca="false">'Base Receitas'!F27</f>
        <v>2750</v>
      </c>
      <c r="G27" s="23" t="str">
        <f aca="false">'Base Receitas'!G27</f>
        <v>parcela 1/3</v>
      </c>
      <c r="H27" s="35" t="n">
        <f aca="false">'Base Receitas'!H27</f>
        <v>46054</v>
      </c>
      <c r="I27" s="23" t="str">
        <f aca="false">'Base Receitas'!I27</f>
        <v>PAGO</v>
      </c>
      <c r="J27" s="24" t="n">
        <f aca="false">'Base Receitas'!J27</f>
        <v>0</v>
      </c>
      <c r="K27" s="23" t="str">
        <f aca="false">IF(B27="Receita recorrente","Recorrente","Pontual")</f>
        <v>Recorrente</v>
      </c>
      <c r="L27" s="23" t="str">
        <f aca="false">IF(J27&gt;0,"🔔 Cobrar","OK")</f>
        <v>OK</v>
      </c>
    </row>
    <row r="28" customFormat="false" ht="15" hidden="false" customHeight="false" outlineLevel="0" collapsed="false">
      <c r="A28" s="23" t="str">
        <f aca="false">'Base Receitas'!A28</f>
        <v>Fevereiro</v>
      </c>
      <c r="B28" s="23" t="str">
        <f aca="false">'Base Receitas'!B28</f>
        <v>Receita recorrente</v>
      </c>
      <c r="C28" s="23" t="str">
        <f aca="false">'Base Receitas'!C28</f>
        <v>Granitos Moredo</v>
      </c>
      <c r="D28" s="23" t="str">
        <f aca="false">'Base Receitas'!D28</f>
        <v>Boleto / NF</v>
      </c>
      <c r="E28" s="23" t="n">
        <f aca="false">'Base Receitas'!E28</f>
        <v>10</v>
      </c>
      <c r="F28" s="24" t="n">
        <f aca="false">'Base Receitas'!F28</f>
        <v>2500</v>
      </c>
      <c r="G28" s="23" t="str">
        <f aca="false">'Base Receitas'!G28</f>
        <v>parcela 5/6</v>
      </c>
      <c r="H28" s="35" t="n">
        <f aca="false">'Base Receitas'!H28</f>
        <v>46023</v>
      </c>
      <c r="I28" s="23" t="str">
        <f aca="false">'Base Receitas'!I28</f>
        <v>PAGO</v>
      </c>
      <c r="J28" s="24" t="n">
        <f aca="false">'Base Receitas'!J28</f>
        <v>0</v>
      </c>
      <c r="K28" s="23" t="str">
        <f aca="false">IF(B28="Receita recorrente","Recorrente","Pontual")</f>
        <v>Recorrente</v>
      </c>
      <c r="L28" s="23" t="str">
        <f aca="false">IF(J28&gt;0,"🔔 Cobrar","OK")</f>
        <v>OK</v>
      </c>
    </row>
    <row r="29" customFormat="false" ht="15" hidden="false" customHeight="false" outlineLevel="0" collapsed="false">
      <c r="A29" s="23" t="str">
        <f aca="false">'Base Receitas'!A29</f>
        <v>Fevereiro</v>
      </c>
      <c r="B29" s="23" t="str">
        <f aca="false">'Base Receitas'!B29</f>
        <v>Receita recorrente</v>
      </c>
      <c r="C29" s="23" t="str">
        <f aca="false">'Base Receitas'!C29</f>
        <v>Kontainers </v>
      </c>
      <c r="D29" s="23" t="str">
        <f aca="false">'Base Receitas'!D29</f>
        <v>Boleto / NF </v>
      </c>
      <c r="E29" s="23" t="n">
        <f aca="false">'Base Receitas'!E29</f>
        <v>12</v>
      </c>
      <c r="F29" s="24" t="n">
        <f aca="false">'Base Receitas'!F29</f>
        <v>1500</v>
      </c>
      <c r="G29" s="23" t="str">
        <f aca="false">'Base Receitas'!G29</f>
        <v>contrato  </v>
      </c>
      <c r="H29" s="35" t="n">
        <f aca="false">'Base Receitas'!H29</f>
        <v>46054</v>
      </c>
      <c r="I29" s="23" t="str">
        <f aca="false">'Base Receitas'!I29</f>
        <v>PAGO</v>
      </c>
      <c r="J29" s="24" t="n">
        <f aca="false">'Base Receitas'!J29</f>
        <v>0</v>
      </c>
      <c r="K29" s="23" t="str">
        <f aca="false">IF(B29="Receita recorrente","Recorrente","Pontual")</f>
        <v>Recorrente</v>
      </c>
      <c r="L29" s="23" t="str">
        <f aca="false">IF(J29&gt;0,"🔔 Cobrar","OK")</f>
        <v>OK</v>
      </c>
    </row>
    <row r="30" customFormat="false" ht="15" hidden="false" customHeight="false" outlineLevel="0" collapsed="false">
      <c r="A30" s="23" t="str">
        <f aca="false">'Base Receitas'!A30</f>
        <v>Fevereiro</v>
      </c>
      <c r="B30" s="23" t="str">
        <f aca="false">'Base Receitas'!B30</f>
        <v>Receita recorrente</v>
      </c>
      <c r="C30" s="23" t="str">
        <f aca="false">'Base Receitas'!C30</f>
        <v>FreePort </v>
      </c>
      <c r="D30" s="23" t="str">
        <f aca="false">'Base Receitas'!D30</f>
        <v>PIX / NF  </v>
      </c>
      <c r="E30" s="23" t="n">
        <f aca="false">'Base Receitas'!E30</f>
        <v>16</v>
      </c>
      <c r="F30" s="24" t="n">
        <f aca="false">'Base Receitas'!F30</f>
        <v>600</v>
      </c>
      <c r="G30" s="23" t="str">
        <f aca="false">'Base Receitas'!G30</f>
        <v>contrato  </v>
      </c>
      <c r="H30" s="35" t="n">
        <f aca="false">'Base Receitas'!H30</f>
        <v>46054</v>
      </c>
      <c r="I30" s="23" t="str">
        <f aca="false">'Base Receitas'!I30</f>
        <v>PAGO</v>
      </c>
      <c r="J30" s="24" t="n">
        <f aca="false">'Base Receitas'!J30</f>
        <v>0</v>
      </c>
      <c r="K30" s="23" t="str">
        <f aca="false">IF(B30="Receita recorrente","Recorrente","Pontual")</f>
        <v>Recorrente</v>
      </c>
      <c r="L30" s="23" t="str">
        <f aca="false">IF(J30&gt;0,"🔔 Cobrar","OK")</f>
        <v>OK</v>
      </c>
    </row>
    <row r="31" customFormat="false" ht="15" hidden="false" customHeight="false" outlineLevel="0" collapsed="false">
      <c r="A31" s="23" t="str">
        <f aca="false">'Base Receitas'!A31</f>
        <v>Fevereiro</v>
      </c>
      <c r="B31" s="23" t="str">
        <f aca="false">'Base Receitas'!B31</f>
        <v>Receita recorrente</v>
      </c>
      <c r="C31" s="23" t="str">
        <f aca="false">'Base Receitas'!C31</f>
        <v>Murilo Eng</v>
      </c>
      <c r="D31" s="23" t="n">
        <f aca="false">'Base Receitas'!D31</f>
        <v>0</v>
      </c>
      <c r="E31" s="23" t="n">
        <f aca="false">'Base Receitas'!E31</f>
        <v>0</v>
      </c>
      <c r="F31" s="24" t="n">
        <f aca="false">'Base Receitas'!F31</f>
        <v>1000</v>
      </c>
      <c r="G31" s="23" t="n">
        <f aca="false">'Base Receitas'!G31</f>
        <v>0</v>
      </c>
      <c r="H31" s="23" t="n">
        <f aca="false">'Base Receitas'!H31</f>
        <v>0</v>
      </c>
      <c r="I31" s="23" t="n">
        <f aca="false">'Base Receitas'!I31</f>
        <v>0</v>
      </c>
      <c r="J31" s="24" t="n">
        <f aca="false">'Base Receitas'!J31</f>
        <v>2500</v>
      </c>
      <c r="K31" s="23" t="str">
        <f aca="false">IF(B31="Receita recorrente","Recorrente","Pontual")</f>
        <v>Recorrente</v>
      </c>
      <c r="L31" s="23" t="str">
        <f aca="false">IF(J31&gt;0,"🔔 Cobrar","OK")</f>
        <v>🔔 Cobrar</v>
      </c>
    </row>
    <row r="32" customFormat="false" ht="15" hidden="false" customHeight="false" outlineLevel="0" collapsed="false">
      <c r="A32" s="23" t="str">
        <f aca="false">'Base Receitas'!A32</f>
        <v>Fevereiro</v>
      </c>
      <c r="B32" s="23" t="str">
        <f aca="false">'Base Receitas'!B32</f>
        <v>Receita recorrente</v>
      </c>
      <c r="C32" s="23" t="str">
        <f aca="false">'Base Receitas'!C32</f>
        <v>Fernet</v>
      </c>
      <c r="D32" s="23" t="str">
        <f aca="false">'Base Receitas'!D32</f>
        <v>Boleto/Nf</v>
      </c>
      <c r="E32" s="23" t="n">
        <f aca="false">'Base Receitas'!E32</f>
        <v>25</v>
      </c>
      <c r="F32" s="24" t="n">
        <f aca="false">'Base Receitas'!F32</f>
        <v>1200</v>
      </c>
      <c r="G32" s="23" t="str">
        <f aca="false">'Base Receitas'!G32</f>
        <v>PARCELA 2/4</v>
      </c>
      <c r="H32" s="23" t="n">
        <f aca="false">'Base Receitas'!H32</f>
        <v>0</v>
      </c>
      <c r="I32" s="23" t="str">
        <f aca="false">'Base Receitas'!I32</f>
        <v>PAGO</v>
      </c>
      <c r="J32" s="24" t="n">
        <f aca="false">'Base Receitas'!J32</f>
        <v>0</v>
      </c>
      <c r="K32" s="23" t="str">
        <f aca="false">IF(B32="Receita recorrente","Recorrente","Pontual")</f>
        <v>Recorrente</v>
      </c>
      <c r="L32" s="23" t="str">
        <f aca="false">IF(J32&gt;0,"🔔 Cobrar","OK")</f>
        <v>OK</v>
      </c>
    </row>
    <row r="33" customFormat="false" ht="15" hidden="false" customHeight="false" outlineLevel="0" collapsed="false">
      <c r="A33" s="23" t="str">
        <f aca="false">'Base Receitas'!A33</f>
        <v>Fevereiro</v>
      </c>
      <c r="B33" s="23" t="str">
        <f aca="false">'Base Receitas'!B33</f>
        <v>Receita recorrente</v>
      </c>
      <c r="C33" s="23" t="n">
        <f aca="false">'Base Receitas'!C33</f>
        <v>0</v>
      </c>
      <c r="D33" s="23" t="str">
        <f aca="false">'Base Receitas'!D33</f>
        <v>Pix</v>
      </c>
      <c r="E33" s="23" t="n">
        <f aca="false">'Base Receitas'!E33</f>
        <v>0</v>
      </c>
      <c r="F33" s="24" t="n">
        <f aca="false">'Base Receitas'!F33</f>
        <v>0</v>
      </c>
      <c r="G33" s="23" t="n">
        <f aca="false">'Base Receitas'!G33</f>
        <v>0</v>
      </c>
      <c r="H33" s="23" t="n">
        <f aca="false">'Base Receitas'!H33</f>
        <v>0</v>
      </c>
      <c r="I33" s="23" t="n">
        <f aca="false">'Base Receitas'!I33</f>
        <v>0</v>
      </c>
      <c r="J33" s="24" t="n">
        <f aca="false">'Base Receitas'!J33</f>
        <v>0</v>
      </c>
      <c r="K33" s="23" t="str">
        <f aca="false">IF(B33="Receita recorrente","Recorrente","Pontual")</f>
        <v>Recorrente</v>
      </c>
      <c r="L33" s="23" t="str">
        <f aca="false">IF(J33&gt;0,"🔔 Cobrar","OK")</f>
        <v>OK</v>
      </c>
    </row>
    <row r="34" customFormat="false" ht="15" hidden="false" customHeight="false" outlineLevel="0" collapsed="false">
      <c r="A34" s="23" t="str">
        <f aca="false">'Base Receitas'!A34</f>
        <v>Fevereiro</v>
      </c>
      <c r="B34" s="23" t="str">
        <f aca="false">'Base Receitas'!B34</f>
        <v>Receita recorrente</v>
      </c>
      <c r="C34" s="23" t="str">
        <f aca="false">'Base Receitas'!C34</f>
        <v>Hygge Games Intern. </v>
      </c>
      <c r="D34" s="23" t="str">
        <f aca="false">'Base Receitas'!D34</f>
        <v>Invoice </v>
      </c>
      <c r="E34" s="23" t="n">
        <f aca="false">'Base Receitas'!E34</f>
        <v>25</v>
      </c>
      <c r="F34" s="24" t="n">
        <f aca="false">'Base Receitas'!F34</f>
        <v>2000</v>
      </c>
      <c r="G34" s="23" t="str">
        <f aca="false">'Base Receitas'!G34</f>
        <v>contrato  </v>
      </c>
      <c r="H34" s="35" t="n">
        <f aca="false">'Base Receitas'!H34</f>
        <v>46023</v>
      </c>
      <c r="I34" s="23" t="str">
        <f aca="false">'Base Receitas'!I34</f>
        <v>PENDENTE</v>
      </c>
      <c r="J34" s="24" t="n">
        <f aca="false">'Base Receitas'!J34</f>
        <v>2000</v>
      </c>
      <c r="K34" s="23" t="str">
        <f aca="false">IF(B34="Receita recorrente","Recorrente","Pontual")</f>
        <v>Recorrente</v>
      </c>
      <c r="L34" s="23" t="str">
        <f aca="false">IF(J34&gt;0,"🔔 Cobrar","OK")</f>
        <v>🔔 Cobrar</v>
      </c>
    </row>
    <row r="35" customFormat="false" ht="15" hidden="false" customHeight="false" outlineLevel="0" collapsed="false">
      <c r="A35" s="23" t="str">
        <f aca="false">'Base Receitas'!A35</f>
        <v>Fevereiro</v>
      </c>
      <c r="B35" s="23" t="str">
        <f aca="false">'Base Receitas'!B35</f>
        <v>Receita recorrente</v>
      </c>
      <c r="C35" s="23" t="str">
        <f aca="false">'Base Receitas'!C35</f>
        <v>Redomo Energia </v>
      </c>
      <c r="D35" s="23" t="str">
        <f aca="false">'Base Receitas'!D35</f>
        <v>Boleto / NF  </v>
      </c>
      <c r="E35" s="23" t="n">
        <f aca="false">'Base Receitas'!E35</f>
        <v>25</v>
      </c>
      <c r="F35" s="24" t="n">
        <f aca="false">'Base Receitas'!F35</f>
        <v>1350</v>
      </c>
      <c r="G35" s="23" t="str">
        <f aca="false">'Base Receitas'!G35</f>
        <v>contrato  </v>
      </c>
      <c r="H35" s="35" t="n">
        <f aca="false">'Base Receitas'!H35</f>
        <v>46023</v>
      </c>
      <c r="I35" s="23" t="str">
        <f aca="false">'Base Receitas'!I35</f>
        <v>PAGO</v>
      </c>
      <c r="J35" s="24" t="n">
        <f aca="false">'Base Receitas'!J35</f>
        <v>0</v>
      </c>
      <c r="K35" s="23" t="str">
        <f aca="false">IF(B35="Receita recorrente","Recorrente","Pontual")</f>
        <v>Recorrente</v>
      </c>
      <c r="L35" s="23" t="str">
        <f aca="false">IF(J35&gt;0,"🔔 Cobrar","OK")</f>
        <v>OK</v>
      </c>
    </row>
    <row r="36" customFormat="false" ht="15" hidden="false" customHeight="false" outlineLevel="0" collapsed="false">
      <c r="A36" s="23" t="str">
        <f aca="false">'Base Receitas'!A36</f>
        <v>Fevereiro</v>
      </c>
      <c r="B36" s="23" t="str">
        <f aca="false">'Base Receitas'!B36</f>
        <v>Receita recorrente</v>
      </c>
      <c r="C36" s="23" t="str">
        <f aca="false">'Base Receitas'!C36</f>
        <v>ADRIFER</v>
      </c>
      <c r="D36" s="23" t="str">
        <f aca="false">'Base Receitas'!D36</f>
        <v>Boleto / NF</v>
      </c>
      <c r="E36" s="23" t="n">
        <f aca="false">'Base Receitas'!E36</f>
        <v>25</v>
      </c>
      <c r="F36" s="24" t="n">
        <f aca="false">'Base Receitas'!F36</f>
        <v>1900</v>
      </c>
      <c r="G36" s="23" t="str">
        <f aca="false">'Base Receitas'!G36</f>
        <v>parcela 1/3</v>
      </c>
      <c r="H36" s="35" t="n">
        <f aca="false">'Base Receitas'!H36</f>
        <v>46054</v>
      </c>
      <c r="I36" s="23" t="str">
        <f aca="false">'Base Receitas'!I36</f>
        <v>PAGO</v>
      </c>
      <c r="J36" s="24" t="n">
        <f aca="false">'Base Receitas'!J36</f>
        <v>0</v>
      </c>
      <c r="K36" s="23" t="str">
        <f aca="false">IF(B36="Receita recorrente","Recorrente","Pontual")</f>
        <v>Recorrente</v>
      </c>
      <c r="L36" s="23" t="str">
        <f aca="false">IF(J36&gt;0,"🔔 Cobrar","OK")</f>
        <v>OK</v>
      </c>
    </row>
    <row r="37" customFormat="false" ht="15" hidden="false" customHeight="false" outlineLevel="0" collapsed="false">
      <c r="A37" s="23" t="str">
        <f aca="false">'Base Receitas'!A37</f>
        <v>Fevereiro</v>
      </c>
      <c r="B37" s="23" t="str">
        <f aca="false">'Base Receitas'!B37</f>
        <v>Receita recorrente</v>
      </c>
      <c r="C37" s="23" t="str">
        <f aca="false">'Base Receitas'!C37</f>
        <v>Agência CMA </v>
      </c>
      <c r="D37" s="23" t="str">
        <f aca="false">'Base Receitas'!D37</f>
        <v>PIX / NF</v>
      </c>
      <c r="E37" s="23" t="n">
        <f aca="false">'Base Receitas'!E37</f>
        <v>30</v>
      </c>
      <c r="F37" s="24" t="n">
        <f aca="false">'Base Receitas'!F37</f>
        <v>4000</v>
      </c>
      <c r="G37" s="23" t="n">
        <f aca="false">'Base Receitas'!G37</f>
        <v>0</v>
      </c>
      <c r="H37" s="35" t="n">
        <f aca="false">'Base Receitas'!H37</f>
        <v>46054</v>
      </c>
      <c r="I37" s="23" t="str">
        <f aca="false">'Base Receitas'!I37</f>
        <v>PAGO</v>
      </c>
      <c r="J37" s="24" t="n">
        <f aca="false">'Base Receitas'!J37</f>
        <v>0</v>
      </c>
      <c r="K37" s="23" t="str">
        <f aca="false">IF(B37="Receita recorrente","Recorrente","Pontual")</f>
        <v>Recorrente</v>
      </c>
      <c r="L37" s="23" t="str">
        <f aca="false">IF(J37&gt;0,"🔔 Cobrar","OK")</f>
        <v>OK</v>
      </c>
    </row>
    <row r="38" customFormat="false" ht="15" hidden="false" customHeight="false" outlineLevel="0" collapsed="false">
      <c r="A38" s="23" t="str">
        <f aca="false">'Base Receitas'!A38</f>
        <v>Fevereiro</v>
      </c>
      <c r="B38" s="23" t="str">
        <f aca="false">'Base Receitas'!B38</f>
        <v>Receita recorrente</v>
      </c>
      <c r="C38" s="23" t="str">
        <f aca="false">'Base Receitas'!C38</f>
        <v>Planet Korea</v>
      </c>
      <c r="D38" s="23" t="n">
        <f aca="false">'Base Receitas'!D38</f>
        <v>0</v>
      </c>
      <c r="E38" s="23" t="n">
        <f aca="false">'Base Receitas'!E38</f>
        <v>0</v>
      </c>
      <c r="F38" s="24" t="n">
        <f aca="false">'Base Receitas'!F38</f>
        <v>0</v>
      </c>
      <c r="G38" s="23" t="n">
        <f aca="false">'Base Receitas'!G38</f>
        <v>0</v>
      </c>
      <c r="H38" s="35" t="n">
        <f aca="false">'Base Receitas'!H38</f>
        <v>46054</v>
      </c>
      <c r="I38" s="23" t="n">
        <f aca="false">'Base Receitas'!I38</f>
        <v>0</v>
      </c>
      <c r="J38" s="24" t="n">
        <f aca="false">'Base Receitas'!J38</f>
        <v>0</v>
      </c>
      <c r="K38" s="23" t="str">
        <f aca="false">IF(B38="Receita recorrente","Recorrente","Pontual")</f>
        <v>Recorrente</v>
      </c>
      <c r="L38" s="23" t="str">
        <f aca="false">IF(J38&gt;0,"🔔 Cobrar","OK")</f>
        <v>OK</v>
      </c>
    </row>
    <row r="39" customFormat="false" ht="15" hidden="false" customHeight="false" outlineLevel="0" collapsed="false">
      <c r="A39" s="23" t="str">
        <f aca="false">'Base Receitas'!A39</f>
        <v>Fevereiro</v>
      </c>
      <c r="B39" s="23" t="str">
        <f aca="false">'Base Receitas'!B39</f>
        <v>Receita recorrente</v>
      </c>
      <c r="C39" s="23" t="str">
        <f aca="false">'Base Receitas'!C39</f>
        <v>ELAGE AÇAI</v>
      </c>
      <c r="D39" s="23" t="str">
        <f aca="false">'Base Receitas'!D39</f>
        <v>PIX /  NF</v>
      </c>
      <c r="E39" s="23" t="n">
        <f aca="false">'Base Receitas'!E39</f>
        <v>30</v>
      </c>
      <c r="F39" s="24" t="n">
        <f aca="false">'Base Receitas'!F39</f>
        <v>2000</v>
      </c>
      <c r="G39" s="23" t="str">
        <f aca="false">'Base Receitas'!G39</f>
        <v>parcela 2/6</v>
      </c>
      <c r="H39" s="35" t="n">
        <f aca="false">'Base Receitas'!H39</f>
        <v>46054</v>
      </c>
      <c r="I39" s="23" t="str">
        <f aca="false">'Base Receitas'!I39</f>
        <v>PENDENTE</v>
      </c>
      <c r="J39" s="24" t="n">
        <f aca="false">'Base Receitas'!J39</f>
        <v>2000</v>
      </c>
      <c r="K39" s="23" t="str">
        <f aca="false">IF(B39="Receita recorrente","Recorrente","Pontual")</f>
        <v>Recorrente</v>
      </c>
      <c r="L39" s="23" t="str">
        <f aca="false">IF(J39&gt;0,"🔔 Cobrar","OK")</f>
        <v>🔔 Cobrar</v>
      </c>
    </row>
    <row r="40" customFormat="false" ht="15" hidden="false" customHeight="false" outlineLevel="0" collapsed="false">
      <c r="A40" s="23" t="str">
        <f aca="false">'Base Receitas'!A40</f>
        <v>Fevereiro</v>
      </c>
      <c r="B40" s="23" t="str">
        <f aca="false">'Base Receitas'!B40</f>
        <v>Receita recorrente</v>
      </c>
      <c r="C40" s="23" t="str">
        <f aca="false">'Base Receitas'!C40</f>
        <v>Hygge Games </v>
      </c>
      <c r="D40" s="23" t="str">
        <f aca="false">'Base Receitas'!D40</f>
        <v>Boleto / NF </v>
      </c>
      <c r="E40" s="23" t="n">
        <f aca="false">'Base Receitas'!E40</f>
        <v>28</v>
      </c>
      <c r="F40" s="24" t="n">
        <f aca="false">'Base Receitas'!F40</f>
        <v>3000</v>
      </c>
      <c r="G40" s="23" t="str">
        <f aca="false">'Base Receitas'!G40</f>
        <v>contrato  </v>
      </c>
      <c r="H40" s="35" t="n">
        <f aca="false">'Base Receitas'!H40</f>
        <v>46054</v>
      </c>
      <c r="I40" s="23" t="str">
        <f aca="false">'Base Receitas'!I40</f>
        <v>PAGO</v>
      </c>
      <c r="J40" s="24" t="n">
        <f aca="false">'Base Receitas'!J40</f>
        <v>0</v>
      </c>
      <c r="K40" s="23" t="str">
        <f aca="false">IF(B40="Receita recorrente","Recorrente","Pontual")</f>
        <v>Recorrente</v>
      </c>
      <c r="L40" s="23" t="str">
        <f aca="false">IF(J40&gt;0,"🔔 Cobrar","OK")</f>
        <v>OK</v>
      </c>
    </row>
    <row r="41" customFormat="false" ht="15" hidden="false" customHeight="false" outlineLevel="0" collapsed="false">
      <c r="A41" s="23" t="str">
        <f aca="false">'Base Receitas'!A41</f>
        <v>Fevereiro</v>
      </c>
      <c r="B41" s="23" t="str">
        <f aca="false">'Base Receitas'!B41</f>
        <v>Receita recorrente</v>
      </c>
      <c r="C41" s="23" t="str">
        <f aca="false">'Base Receitas'!C41</f>
        <v>Cemitério Cantareira </v>
      </c>
      <c r="D41" s="23" t="str">
        <f aca="false">'Base Receitas'!D41</f>
        <v>Boleto</v>
      </c>
      <c r="E41" s="23" t="n">
        <f aca="false">'Base Receitas'!E41</f>
        <v>30</v>
      </c>
      <c r="F41" s="24" t="n">
        <f aca="false">'Base Receitas'!F41</f>
        <v>2750</v>
      </c>
      <c r="G41" s="23" t="str">
        <f aca="false">'Base Receitas'!G41</f>
        <v>contrato  </v>
      </c>
      <c r="H41" s="35" t="n">
        <f aca="false">'Base Receitas'!H41</f>
        <v>46054</v>
      </c>
      <c r="I41" s="23" t="str">
        <f aca="false">'Base Receitas'!I41</f>
        <v>PAGO</v>
      </c>
      <c r="J41" s="24" t="n">
        <f aca="false">'Base Receitas'!J41</f>
        <v>0</v>
      </c>
      <c r="K41" s="23" t="str">
        <f aca="false">IF(B41="Receita recorrente","Recorrente","Pontual")</f>
        <v>Recorrente</v>
      </c>
      <c r="L41" s="23" t="str">
        <f aca="false">IF(J41&gt;0,"🔔 Cobrar","OK")</f>
        <v>OK</v>
      </c>
    </row>
    <row r="42" customFormat="false" ht="15" hidden="false" customHeight="false" outlineLevel="0" collapsed="false">
      <c r="A42" s="23" t="str">
        <f aca="false">'Base Receitas'!A42</f>
        <v>Fevereiro</v>
      </c>
      <c r="B42" s="23" t="str">
        <f aca="false">'Base Receitas'!B42</f>
        <v>Receita recorrente</v>
      </c>
      <c r="C42" s="23" t="str">
        <f aca="false">'Base Receitas'!C42</f>
        <v>Daju Restaurante </v>
      </c>
      <c r="D42" s="23" t="str">
        <f aca="false">'Base Receitas'!D42</f>
        <v>PIX  / NF </v>
      </c>
      <c r="E42" s="23" t="n">
        <f aca="false">'Base Receitas'!E42</f>
        <v>30</v>
      </c>
      <c r="F42" s="24" t="n">
        <f aca="false">'Base Receitas'!F42</f>
        <v>600</v>
      </c>
      <c r="G42" s="23" t="str">
        <f aca="false">'Base Receitas'!G42</f>
        <v>contrato  </v>
      </c>
      <c r="H42" s="35" t="n">
        <f aca="false">'Base Receitas'!H42</f>
        <v>46054</v>
      </c>
      <c r="I42" s="23" t="str">
        <f aca="false">'Base Receitas'!I42</f>
        <v>PAGO</v>
      </c>
      <c r="J42" s="24" t="n">
        <f aca="false">'Base Receitas'!J42</f>
        <v>600</v>
      </c>
      <c r="K42" s="23" t="str">
        <f aca="false">IF(B42="Receita recorrente","Recorrente","Pontual")</f>
        <v>Recorrente</v>
      </c>
      <c r="L42" s="23" t="str">
        <f aca="false">IF(J42&gt;0,"🔔 Cobrar","OK")</f>
        <v>🔔 Cobrar</v>
      </c>
    </row>
    <row r="43" customFormat="false" ht="15" hidden="false" customHeight="false" outlineLevel="0" collapsed="false">
      <c r="A43" s="23" t="str">
        <f aca="false">'Base Receitas'!A43</f>
        <v>Março</v>
      </c>
      <c r="B43" s="23" t="str">
        <f aca="false">'Base Receitas'!B43</f>
        <v>Receita recorrente</v>
      </c>
      <c r="C43" s="23" t="str">
        <f aca="false">'Base Receitas'!C43</f>
        <v>PROMPT</v>
      </c>
      <c r="D43" s="23" t="str">
        <f aca="false">'Base Receitas'!D43</f>
        <v>PIX </v>
      </c>
      <c r="E43" s="23" t="n">
        <f aca="false">'Base Receitas'!E43</f>
        <v>5</v>
      </c>
      <c r="F43" s="24" t="n">
        <f aca="false">'Base Receitas'!F43</f>
        <v>800</v>
      </c>
      <c r="G43" s="23" t="str">
        <f aca="false">'Base Receitas'!G43</f>
        <v>contrato  </v>
      </c>
      <c r="H43" s="35" t="n">
        <f aca="false">'Base Receitas'!H43</f>
        <v>46054</v>
      </c>
      <c r="I43" s="23" t="str">
        <f aca="false">'Base Receitas'!I43</f>
        <v>PAGO</v>
      </c>
      <c r="J43" s="24" t="n">
        <f aca="false">'Base Receitas'!J43</f>
        <v>0</v>
      </c>
      <c r="K43" s="23" t="str">
        <f aca="false">IF(B43="Receita recorrente","Recorrente","Pontual")</f>
        <v>Recorrente</v>
      </c>
      <c r="L43" s="23" t="str">
        <f aca="false">IF(J43&gt;0,"🔔 Cobrar","OK")</f>
        <v>OK</v>
      </c>
    </row>
    <row r="44" customFormat="false" ht="15" hidden="false" customHeight="false" outlineLevel="0" collapsed="false">
      <c r="A44" s="23" t="str">
        <f aca="false">'Base Receitas'!A44</f>
        <v>Março</v>
      </c>
      <c r="B44" s="23" t="str">
        <f aca="false">'Base Receitas'!B44</f>
        <v>Receita recorrente</v>
      </c>
      <c r="C44" s="23" t="str">
        <f aca="false">'Base Receitas'!C44</f>
        <v>Atlas </v>
      </c>
      <c r="D44" s="23" t="str">
        <f aca="false">'Base Receitas'!D44</f>
        <v>Boleto / NF </v>
      </c>
      <c r="E44" s="23" t="n">
        <f aca="false">'Base Receitas'!E44</f>
        <v>5</v>
      </c>
      <c r="F44" s="24" t="n">
        <f aca="false">'Base Receitas'!F44</f>
        <v>1200</v>
      </c>
      <c r="G44" s="23" t="str">
        <f aca="false">'Base Receitas'!G44</f>
        <v>parcela 4/4</v>
      </c>
      <c r="H44" s="35" t="n">
        <f aca="false">'Base Receitas'!H44</f>
        <v>46054</v>
      </c>
      <c r="I44" s="23" t="n">
        <f aca="false">'Base Receitas'!I44</f>
        <v>0</v>
      </c>
      <c r="J44" s="24" t="n">
        <f aca="false">'Base Receitas'!J44</f>
        <v>0</v>
      </c>
      <c r="K44" s="23" t="str">
        <f aca="false">IF(B44="Receita recorrente","Recorrente","Pontual")</f>
        <v>Recorrente</v>
      </c>
      <c r="L44" s="23" t="str">
        <f aca="false">IF(J44&gt;0,"🔔 Cobrar","OK")</f>
        <v>OK</v>
      </c>
    </row>
    <row r="45" customFormat="false" ht="15" hidden="false" customHeight="false" outlineLevel="0" collapsed="false">
      <c r="A45" s="23" t="str">
        <f aca="false">'Base Receitas'!A45</f>
        <v>Março</v>
      </c>
      <c r="B45" s="23" t="str">
        <f aca="false">'Base Receitas'!B45</f>
        <v>Receita recorrente</v>
      </c>
      <c r="C45" s="23" t="str">
        <f aca="false">'Base Receitas'!C45</f>
        <v>Promanage</v>
      </c>
      <c r="D45" s="23" t="str">
        <f aca="false">'Base Receitas'!D45</f>
        <v>Boleto / NF </v>
      </c>
      <c r="E45" s="23" t="n">
        <f aca="false">'Base Receitas'!E45</f>
        <v>5</v>
      </c>
      <c r="F45" s="24" t="n">
        <f aca="false">'Base Receitas'!F45</f>
        <v>750</v>
      </c>
      <c r="G45" s="23" t="str">
        <f aca="false">'Base Receitas'!G45</f>
        <v>parcela 4/4</v>
      </c>
      <c r="H45" s="35" t="n">
        <f aca="false">'Base Receitas'!H45</f>
        <v>46082</v>
      </c>
      <c r="I45" s="23" t="str">
        <f aca="false">'Base Receitas'!I45</f>
        <v>PAGO</v>
      </c>
      <c r="J45" s="24" t="n">
        <f aca="false">'Base Receitas'!J45</f>
        <v>0</v>
      </c>
      <c r="K45" s="23" t="str">
        <f aca="false">IF(B45="Receita recorrente","Recorrente","Pontual")</f>
        <v>Recorrente</v>
      </c>
      <c r="L45" s="23" t="str">
        <f aca="false">IF(J45&gt;0,"🔔 Cobrar","OK")</f>
        <v>OK</v>
      </c>
    </row>
    <row r="46" customFormat="false" ht="15" hidden="false" customHeight="false" outlineLevel="0" collapsed="false">
      <c r="A46" s="23" t="str">
        <f aca="false">'Base Receitas'!A46</f>
        <v>Março</v>
      </c>
      <c r="B46" s="23" t="str">
        <f aca="false">'Base Receitas'!B46</f>
        <v>Receita recorrente</v>
      </c>
      <c r="C46" s="23" t="str">
        <f aca="false">'Base Receitas'!C46</f>
        <v>Eletrotec</v>
      </c>
      <c r="D46" s="23" t="str">
        <f aca="false">'Base Receitas'!D46</f>
        <v>Boleto / NF </v>
      </c>
      <c r="E46" s="23" t="n">
        <f aca="false">'Base Receitas'!E46</f>
        <v>6</v>
      </c>
      <c r="F46" s="24" t="n">
        <f aca="false">'Base Receitas'!F46</f>
        <v>2750</v>
      </c>
      <c r="G46" s="23" t="str">
        <f aca="false">'Base Receitas'!G46</f>
        <v>parcela 2/3</v>
      </c>
      <c r="H46" s="35" t="n">
        <f aca="false">'Base Receitas'!H46</f>
        <v>46082</v>
      </c>
      <c r="I46" s="23" t="str">
        <f aca="false">'Base Receitas'!I46</f>
        <v>PAGO</v>
      </c>
      <c r="J46" s="24" t="n">
        <f aca="false">'Base Receitas'!J46</f>
        <v>0</v>
      </c>
      <c r="K46" s="23" t="str">
        <f aca="false">IF(B46="Receita recorrente","Recorrente","Pontual")</f>
        <v>Recorrente</v>
      </c>
      <c r="L46" s="23" t="str">
        <f aca="false">IF(J46&gt;0,"🔔 Cobrar","OK")</f>
        <v>OK</v>
      </c>
    </row>
    <row r="47" customFormat="false" ht="15" hidden="false" customHeight="false" outlineLevel="0" collapsed="false">
      <c r="A47" s="23" t="str">
        <f aca="false">'Base Receitas'!A47</f>
        <v>Março</v>
      </c>
      <c r="B47" s="23" t="str">
        <f aca="false">'Base Receitas'!B47</f>
        <v>Receita recorrente</v>
      </c>
      <c r="C47" s="23" t="str">
        <f aca="false">'Base Receitas'!C47</f>
        <v>Granitos Moredo</v>
      </c>
      <c r="D47" s="23" t="str">
        <f aca="false">'Base Receitas'!D47</f>
        <v>Boleto / NF</v>
      </c>
      <c r="E47" s="23" t="n">
        <f aca="false">'Base Receitas'!E47</f>
        <v>10</v>
      </c>
      <c r="F47" s="24" t="n">
        <f aca="false">'Base Receitas'!F47</f>
        <v>2500</v>
      </c>
      <c r="G47" s="23" t="str">
        <f aca="false">'Base Receitas'!G47</f>
        <v>parcela 6/6</v>
      </c>
      <c r="H47" s="35" t="n">
        <f aca="false">'Base Receitas'!H47</f>
        <v>46054</v>
      </c>
      <c r="I47" s="23" t="n">
        <f aca="false">'Base Receitas'!I47</f>
        <v>0</v>
      </c>
      <c r="J47" s="24" t="n">
        <f aca="false">'Base Receitas'!J47</f>
        <v>0</v>
      </c>
      <c r="K47" s="23" t="str">
        <f aca="false">IF(B47="Receita recorrente","Recorrente","Pontual")</f>
        <v>Recorrente</v>
      </c>
      <c r="L47" s="23" t="str">
        <f aca="false">IF(J47&gt;0,"🔔 Cobrar","OK")</f>
        <v>OK</v>
      </c>
    </row>
    <row r="48" customFormat="false" ht="15" hidden="false" customHeight="false" outlineLevel="0" collapsed="false">
      <c r="A48" s="23" t="str">
        <f aca="false">'Base Receitas'!A48</f>
        <v>Março</v>
      </c>
      <c r="B48" s="23" t="str">
        <f aca="false">'Base Receitas'!B48</f>
        <v>Receita recorrente</v>
      </c>
      <c r="C48" s="23" t="str">
        <f aca="false">'Base Receitas'!C48</f>
        <v>Kontainers </v>
      </c>
      <c r="D48" s="23" t="str">
        <f aca="false">'Base Receitas'!D48</f>
        <v>Boleto / NF </v>
      </c>
      <c r="E48" s="23" t="n">
        <f aca="false">'Base Receitas'!E48</f>
        <v>12</v>
      </c>
      <c r="F48" s="24" t="n">
        <f aca="false">'Base Receitas'!F48</f>
        <v>1500</v>
      </c>
      <c r="G48" s="23" t="str">
        <f aca="false">'Base Receitas'!G48</f>
        <v>contrato  </v>
      </c>
      <c r="H48" s="35" t="n">
        <f aca="false">'Base Receitas'!H48</f>
        <v>46082</v>
      </c>
      <c r="I48" s="23" t="n">
        <f aca="false">'Base Receitas'!I48</f>
        <v>0</v>
      </c>
      <c r="J48" s="24" t="n">
        <f aca="false">'Base Receitas'!J48</f>
        <v>0</v>
      </c>
      <c r="K48" s="23" t="str">
        <f aca="false">IF(B48="Receita recorrente","Recorrente","Pontual")</f>
        <v>Recorrente</v>
      </c>
      <c r="L48" s="23" t="str">
        <f aca="false">IF(J48&gt;0,"🔔 Cobrar","OK")</f>
        <v>OK</v>
      </c>
    </row>
    <row r="49" customFormat="false" ht="15" hidden="false" customHeight="false" outlineLevel="0" collapsed="false">
      <c r="A49" s="23" t="str">
        <f aca="false">'Base Receitas'!A49</f>
        <v>Março</v>
      </c>
      <c r="B49" s="23" t="str">
        <f aca="false">'Base Receitas'!B49</f>
        <v>Receita recorrente</v>
      </c>
      <c r="C49" s="23" t="str">
        <f aca="false">'Base Receitas'!C49</f>
        <v>FreePort </v>
      </c>
      <c r="D49" s="23" t="str">
        <f aca="false">'Base Receitas'!D49</f>
        <v>PIX / NF  </v>
      </c>
      <c r="E49" s="23" t="n">
        <f aca="false">'Base Receitas'!E49</f>
        <v>16</v>
      </c>
      <c r="F49" s="24" t="n">
        <f aca="false">'Base Receitas'!F49</f>
        <v>600</v>
      </c>
      <c r="G49" s="23" t="str">
        <f aca="false">'Base Receitas'!G49</f>
        <v>contrato  </v>
      </c>
      <c r="H49" s="35" t="n">
        <f aca="false">'Base Receitas'!H49</f>
        <v>46082</v>
      </c>
      <c r="I49" s="23" t="n">
        <f aca="false">'Base Receitas'!I49</f>
        <v>0</v>
      </c>
      <c r="J49" s="24" t="n">
        <f aca="false">'Base Receitas'!J49</f>
        <v>0</v>
      </c>
      <c r="K49" s="23" t="str">
        <f aca="false">IF(B49="Receita recorrente","Recorrente","Pontual")</f>
        <v>Recorrente</v>
      </c>
      <c r="L49" s="23" t="str">
        <f aca="false">IF(J49&gt;0,"🔔 Cobrar","OK")</f>
        <v>OK</v>
      </c>
    </row>
    <row r="50" customFormat="false" ht="15" hidden="false" customHeight="false" outlineLevel="0" collapsed="false">
      <c r="A50" s="23" t="str">
        <f aca="false">'Base Receitas'!A50</f>
        <v>Março</v>
      </c>
      <c r="B50" s="23" t="str">
        <f aca="false">'Base Receitas'!B50</f>
        <v>Receita recorrente</v>
      </c>
      <c r="C50" s="23" t="str">
        <f aca="false">'Base Receitas'!C50</f>
        <v>Murilo Eng</v>
      </c>
      <c r="D50" s="23" t="n">
        <f aca="false">'Base Receitas'!D50</f>
        <v>0</v>
      </c>
      <c r="E50" s="23" t="n">
        <f aca="false">'Base Receitas'!E50</f>
        <v>0</v>
      </c>
      <c r="F50" s="24" t="n">
        <f aca="false">'Base Receitas'!F50</f>
        <v>1000</v>
      </c>
      <c r="G50" s="23" t="n">
        <f aca="false">'Base Receitas'!G50</f>
        <v>0</v>
      </c>
      <c r="H50" s="23" t="n">
        <f aca="false">'Base Receitas'!H50</f>
        <v>0</v>
      </c>
      <c r="I50" s="23" t="n">
        <f aca="false">'Base Receitas'!I50</f>
        <v>0</v>
      </c>
      <c r="J50" s="24" t="n">
        <f aca="false">'Base Receitas'!J50</f>
        <v>0</v>
      </c>
      <c r="K50" s="23" t="str">
        <f aca="false">IF(B50="Receita recorrente","Recorrente","Pontual")</f>
        <v>Recorrente</v>
      </c>
      <c r="L50" s="23" t="str">
        <f aca="false">IF(J50&gt;0,"🔔 Cobrar","OK")</f>
        <v>OK</v>
      </c>
    </row>
    <row r="51" customFormat="false" ht="15" hidden="false" customHeight="false" outlineLevel="0" collapsed="false">
      <c r="A51" s="23" t="str">
        <f aca="false">'Base Receitas'!A51</f>
        <v>Março</v>
      </c>
      <c r="B51" s="23" t="str">
        <f aca="false">'Base Receitas'!B51</f>
        <v>Receita recorrente</v>
      </c>
      <c r="C51" s="23" t="str">
        <f aca="false">'Base Receitas'!C51</f>
        <v>Fernet</v>
      </c>
      <c r="D51" s="23" t="str">
        <f aca="false">'Base Receitas'!D51</f>
        <v>Boleto/Nf</v>
      </c>
      <c r="E51" s="23" t="n">
        <f aca="false">'Base Receitas'!E51</f>
        <v>25</v>
      </c>
      <c r="F51" s="24" t="n">
        <f aca="false">'Base Receitas'!F51</f>
        <v>1200</v>
      </c>
      <c r="G51" s="23" t="str">
        <f aca="false">'Base Receitas'!G51</f>
        <v>PARCELA 3/4</v>
      </c>
      <c r="H51" s="23" t="n">
        <f aca="false">'Base Receitas'!H51</f>
        <v>0</v>
      </c>
      <c r="I51" s="23" t="n">
        <f aca="false">'Base Receitas'!I51</f>
        <v>0</v>
      </c>
      <c r="J51" s="24" t="n">
        <f aca="false">'Base Receitas'!J51</f>
        <v>0</v>
      </c>
      <c r="K51" s="23" t="str">
        <f aca="false">IF(B51="Receita recorrente","Recorrente","Pontual")</f>
        <v>Recorrente</v>
      </c>
      <c r="L51" s="23" t="str">
        <f aca="false">IF(J51&gt;0,"🔔 Cobrar","OK")</f>
        <v>OK</v>
      </c>
    </row>
    <row r="52" customFormat="false" ht="15" hidden="false" customHeight="false" outlineLevel="0" collapsed="false">
      <c r="A52" s="23" t="str">
        <f aca="false">'Base Receitas'!A52</f>
        <v>Março</v>
      </c>
      <c r="B52" s="23" t="str">
        <f aca="false">'Base Receitas'!B52</f>
        <v>Receita recorrente</v>
      </c>
      <c r="C52" s="23" t="str">
        <f aca="false">'Base Receitas'!C52</f>
        <v>Wolf</v>
      </c>
      <c r="D52" s="23" t="str">
        <f aca="false">'Base Receitas'!D52</f>
        <v>Pix</v>
      </c>
      <c r="E52" s="23" t="n">
        <f aca="false">'Base Receitas'!E52</f>
        <v>0</v>
      </c>
      <c r="F52" s="24" t="n">
        <f aca="false">'Base Receitas'!F52</f>
        <v>0</v>
      </c>
      <c r="G52" s="23" t="n">
        <f aca="false">'Base Receitas'!G52</f>
        <v>0</v>
      </c>
      <c r="H52" s="23" t="n">
        <f aca="false">'Base Receitas'!H52</f>
        <v>0</v>
      </c>
      <c r="I52" s="23" t="n">
        <f aca="false">'Base Receitas'!I52</f>
        <v>0</v>
      </c>
      <c r="J52" s="24" t="n">
        <f aca="false">'Base Receitas'!J52</f>
        <v>0</v>
      </c>
      <c r="K52" s="23" t="str">
        <f aca="false">IF(B52="Receita recorrente","Recorrente","Pontual")</f>
        <v>Recorrente</v>
      </c>
      <c r="L52" s="23" t="str">
        <f aca="false">IF(J52&gt;0,"🔔 Cobrar","OK")</f>
        <v>OK</v>
      </c>
    </row>
    <row r="53" customFormat="false" ht="15" hidden="false" customHeight="false" outlineLevel="0" collapsed="false">
      <c r="A53" s="23" t="str">
        <f aca="false">'Base Receitas'!A53</f>
        <v>Março</v>
      </c>
      <c r="B53" s="23" t="str">
        <f aca="false">'Base Receitas'!B53</f>
        <v>Receita recorrente</v>
      </c>
      <c r="C53" s="23" t="str">
        <f aca="false">'Base Receitas'!C53</f>
        <v>Hygge Games Intern. </v>
      </c>
      <c r="D53" s="23" t="str">
        <f aca="false">'Base Receitas'!D53</f>
        <v>Invoice </v>
      </c>
      <c r="E53" s="23" t="n">
        <f aca="false">'Base Receitas'!E53</f>
        <v>25</v>
      </c>
      <c r="F53" s="24" t="n">
        <f aca="false">'Base Receitas'!F53</f>
        <v>2000</v>
      </c>
      <c r="G53" s="23" t="str">
        <f aca="false">'Base Receitas'!G53</f>
        <v>contrato  </v>
      </c>
      <c r="H53" s="35" t="n">
        <f aca="false">'Base Receitas'!H53</f>
        <v>46054</v>
      </c>
      <c r="I53" s="23" t="n">
        <f aca="false">'Base Receitas'!I53</f>
        <v>0</v>
      </c>
      <c r="J53" s="24" t="n">
        <f aca="false">'Base Receitas'!J53</f>
        <v>0</v>
      </c>
      <c r="K53" s="23" t="str">
        <f aca="false">IF(B53="Receita recorrente","Recorrente","Pontual")</f>
        <v>Recorrente</v>
      </c>
      <c r="L53" s="23" t="str">
        <f aca="false">IF(J53&gt;0,"🔔 Cobrar","OK")</f>
        <v>OK</v>
      </c>
    </row>
    <row r="54" customFormat="false" ht="15" hidden="false" customHeight="false" outlineLevel="0" collapsed="false">
      <c r="A54" s="23" t="str">
        <f aca="false">'Base Receitas'!A54</f>
        <v>Março</v>
      </c>
      <c r="B54" s="23" t="str">
        <f aca="false">'Base Receitas'!B54</f>
        <v>Receita recorrente</v>
      </c>
      <c r="C54" s="23" t="str">
        <f aca="false">'Base Receitas'!C54</f>
        <v>Redomo Energia </v>
      </c>
      <c r="D54" s="23" t="str">
        <f aca="false">'Base Receitas'!D54</f>
        <v>Boleto / NF  </v>
      </c>
      <c r="E54" s="23" t="n">
        <f aca="false">'Base Receitas'!E54</f>
        <v>25</v>
      </c>
      <c r="F54" s="24" t="n">
        <f aca="false">'Base Receitas'!F54</f>
        <v>1350</v>
      </c>
      <c r="G54" s="23" t="str">
        <f aca="false">'Base Receitas'!G54</f>
        <v>contrato  </v>
      </c>
      <c r="H54" s="35" t="n">
        <f aca="false">'Base Receitas'!H54</f>
        <v>46054</v>
      </c>
      <c r="I54" s="23" t="n">
        <f aca="false">'Base Receitas'!I54</f>
        <v>0</v>
      </c>
      <c r="J54" s="24" t="n">
        <f aca="false">'Base Receitas'!J54</f>
        <v>0</v>
      </c>
      <c r="K54" s="23" t="str">
        <f aca="false">IF(B54="Receita recorrente","Recorrente","Pontual")</f>
        <v>Recorrente</v>
      </c>
      <c r="L54" s="23" t="str">
        <f aca="false">IF(J54&gt;0,"🔔 Cobrar","OK")</f>
        <v>OK</v>
      </c>
    </row>
    <row r="55" customFormat="false" ht="15" hidden="false" customHeight="false" outlineLevel="0" collapsed="false">
      <c r="A55" s="23" t="str">
        <f aca="false">'Base Receitas'!A55</f>
        <v>Março</v>
      </c>
      <c r="B55" s="23" t="str">
        <f aca="false">'Base Receitas'!B55</f>
        <v>Receita recorrente</v>
      </c>
      <c r="C55" s="23" t="str">
        <f aca="false">'Base Receitas'!C55</f>
        <v>ADRIFER</v>
      </c>
      <c r="D55" s="23" t="str">
        <f aca="false">'Base Receitas'!D55</f>
        <v>Boleto / NF</v>
      </c>
      <c r="E55" s="23" t="n">
        <f aca="false">'Base Receitas'!E55</f>
        <v>25</v>
      </c>
      <c r="F55" s="24" t="n">
        <f aca="false">'Base Receitas'!F55</f>
        <v>1900</v>
      </c>
      <c r="G55" s="23" t="str">
        <f aca="false">'Base Receitas'!G55</f>
        <v>parcela 2/3</v>
      </c>
      <c r="H55" s="35" t="n">
        <f aca="false">'Base Receitas'!H55</f>
        <v>46082</v>
      </c>
      <c r="I55" s="23" t="n">
        <f aca="false">'Base Receitas'!I55</f>
        <v>0</v>
      </c>
      <c r="J55" s="24" t="n">
        <f aca="false">'Base Receitas'!J55</f>
        <v>0</v>
      </c>
      <c r="K55" s="23" t="str">
        <f aca="false">IF(B55="Receita recorrente","Recorrente","Pontual")</f>
        <v>Recorrente</v>
      </c>
      <c r="L55" s="23" t="str">
        <f aca="false">IF(J55&gt;0,"🔔 Cobrar","OK")</f>
        <v>OK</v>
      </c>
    </row>
    <row r="56" customFormat="false" ht="15" hidden="false" customHeight="false" outlineLevel="0" collapsed="false">
      <c r="A56" s="23" t="str">
        <f aca="false">'Base Receitas'!A56</f>
        <v>Março</v>
      </c>
      <c r="B56" s="23" t="str">
        <f aca="false">'Base Receitas'!B56</f>
        <v>Receita recorrente</v>
      </c>
      <c r="C56" s="23" t="str">
        <f aca="false">'Base Receitas'!C56</f>
        <v>Agência CMA </v>
      </c>
      <c r="D56" s="23" t="str">
        <f aca="false">'Base Receitas'!D56</f>
        <v>PIX / NF</v>
      </c>
      <c r="E56" s="23" t="n">
        <f aca="false">'Base Receitas'!E56</f>
        <v>30</v>
      </c>
      <c r="F56" s="24" t="n">
        <f aca="false">'Base Receitas'!F56</f>
        <v>4500</v>
      </c>
      <c r="G56" s="23" t="n">
        <f aca="false">'Base Receitas'!G56</f>
        <v>0</v>
      </c>
      <c r="H56" s="35" t="n">
        <f aca="false">'Base Receitas'!H56</f>
        <v>46082</v>
      </c>
      <c r="I56" s="23" t="n">
        <f aca="false">'Base Receitas'!I56</f>
        <v>0</v>
      </c>
      <c r="J56" s="24" t="n">
        <f aca="false">'Base Receitas'!J56</f>
        <v>0</v>
      </c>
      <c r="K56" s="23" t="str">
        <f aca="false">IF(B56="Receita recorrente","Recorrente","Pontual")</f>
        <v>Recorrente</v>
      </c>
      <c r="L56" s="23" t="str">
        <f aca="false">IF(J56&gt;0,"🔔 Cobrar","OK")</f>
        <v>OK</v>
      </c>
    </row>
    <row r="57" customFormat="false" ht="15" hidden="false" customHeight="false" outlineLevel="0" collapsed="false">
      <c r="A57" s="23" t="str">
        <f aca="false">'Base Receitas'!A57</f>
        <v>Março</v>
      </c>
      <c r="B57" s="23" t="str">
        <f aca="false">'Base Receitas'!B57</f>
        <v>Receita recorrente</v>
      </c>
      <c r="C57" s="23" t="str">
        <f aca="false">'Base Receitas'!C57</f>
        <v>ELAGE AÇAI</v>
      </c>
      <c r="D57" s="23" t="str">
        <f aca="false">'Base Receitas'!D57</f>
        <v>PIX /  NF</v>
      </c>
      <c r="E57" s="23" t="n">
        <f aca="false">'Base Receitas'!E57</f>
        <v>30</v>
      </c>
      <c r="F57" s="24" t="n">
        <f aca="false">'Base Receitas'!F57</f>
        <v>2000</v>
      </c>
      <c r="G57" s="23" t="str">
        <f aca="false">'Base Receitas'!G57</f>
        <v>parcela 3/6</v>
      </c>
      <c r="H57" s="35" t="n">
        <f aca="false">'Base Receitas'!H57</f>
        <v>46082</v>
      </c>
      <c r="I57" s="23" t="n">
        <f aca="false">'Base Receitas'!I57</f>
        <v>0</v>
      </c>
      <c r="J57" s="24" t="n">
        <f aca="false">'Base Receitas'!J57</f>
        <v>0</v>
      </c>
      <c r="K57" s="23" t="str">
        <f aca="false">IF(B57="Receita recorrente","Recorrente","Pontual")</f>
        <v>Recorrente</v>
      </c>
      <c r="L57" s="23" t="str">
        <f aca="false">IF(J57&gt;0,"🔔 Cobrar","OK")</f>
        <v>OK</v>
      </c>
    </row>
    <row r="58" customFormat="false" ht="15" hidden="false" customHeight="false" outlineLevel="0" collapsed="false">
      <c r="A58" s="23" t="str">
        <f aca="false">'Base Receitas'!A58</f>
        <v>Março</v>
      </c>
      <c r="B58" s="23" t="str">
        <f aca="false">'Base Receitas'!B58</f>
        <v>Receita recorrente</v>
      </c>
      <c r="C58" s="23" t="str">
        <f aca="false">'Base Receitas'!C58</f>
        <v>Hygge Games </v>
      </c>
      <c r="D58" s="23" t="str">
        <f aca="false">'Base Receitas'!D58</f>
        <v>Boleto / NF </v>
      </c>
      <c r="E58" s="23" t="n">
        <f aca="false">'Base Receitas'!E58</f>
        <v>28</v>
      </c>
      <c r="F58" s="24" t="n">
        <f aca="false">'Base Receitas'!F58</f>
        <v>3000</v>
      </c>
      <c r="G58" s="23" t="str">
        <f aca="false">'Base Receitas'!G58</f>
        <v>contrato  </v>
      </c>
      <c r="H58" s="35" t="n">
        <f aca="false">'Base Receitas'!H58</f>
        <v>46082</v>
      </c>
      <c r="I58" s="23" t="n">
        <f aca="false">'Base Receitas'!I58</f>
        <v>0</v>
      </c>
      <c r="J58" s="24" t="n">
        <f aca="false">'Base Receitas'!J58</f>
        <v>0</v>
      </c>
      <c r="K58" s="23" t="str">
        <f aca="false">IF(B58="Receita recorrente","Recorrente","Pontual")</f>
        <v>Recorrente</v>
      </c>
      <c r="L58" s="23" t="str">
        <f aca="false">IF(J58&gt;0,"🔔 Cobrar","OK")</f>
        <v>OK</v>
      </c>
    </row>
    <row r="59" customFormat="false" ht="15" hidden="false" customHeight="false" outlineLevel="0" collapsed="false">
      <c r="A59" s="23" t="str">
        <f aca="false">'Base Receitas'!A59</f>
        <v>Março</v>
      </c>
      <c r="B59" s="23" t="str">
        <f aca="false">'Base Receitas'!B59</f>
        <v>Receita recorrente</v>
      </c>
      <c r="C59" s="23" t="str">
        <f aca="false">'Base Receitas'!C59</f>
        <v>Cemitério Cantareira </v>
      </c>
      <c r="D59" s="23" t="str">
        <f aca="false">'Base Receitas'!D59</f>
        <v>Boleto</v>
      </c>
      <c r="E59" s="23" t="n">
        <f aca="false">'Base Receitas'!E59</f>
        <v>30</v>
      </c>
      <c r="F59" s="24" t="n">
        <f aca="false">'Base Receitas'!F59</f>
        <v>2000</v>
      </c>
      <c r="G59" s="23" t="str">
        <f aca="false">'Base Receitas'!G59</f>
        <v>contrato  </v>
      </c>
      <c r="H59" s="35" t="n">
        <f aca="false">'Base Receitas'!H59</f>
        <v>46082</v>
      </c>
      <c r="I59" s="23" t="n">
        <f aca="false">'Base Receitas'!I59</f>
        <v>0</v>
      </c>
      <c r="J59" s="24" t="n">
        <f aca="false">'Base Receitas'!J59</f>
        <v>0</v>
      </c>
      <c r="K59" s="23" t="str">
        <f aca="false">IF(B59="Receita recorrente","Recorrente","Pontual")</f>
        <v>Recorrente</v>
      </c>
      <c r="L59" s="23" t="str">
        <f aca="false">IF(J59&gt;0,"🔔 Cobrar","OK")</f>
        <v>OK</v>
      </c>
    </row>
    <row r="60" customFormat="false" ht="15" hidden="false" customHeight="false" outlineLevel="0" collapsed="false">
      <c r="A60" s="23" t="str">
        <f aca="false">'Base Receitas'!A60</f>
        <v>Março</v>
      </c>
      <c r="B60" s="23" t="str">
        <f aca="false">'Base Receitas'!B60</f>
        <v>Receita recorrente</v>
      </c>
      <c r="C60" s="23" t="str">
        <f aca="false">'Base Receitas'!C60</f>
        <v>Daju Restaurante </v>
      </c>
      <c r="D60" s="23" t="str">
        <f aca="false">'Base Receitas'!D60</f>
        <v>PIX  / NF </v>
      </c>
      <c r="E60" s="23" t="n">
        <f aca="false">'Base Receitas'!E60</f>
        <v>30</v>
      </c>
      <c r="F60" s="24" t="n">
        <f aca="false">'Base Receitas'!F60</f>
        <v>0</v>
      </c>
      <c r="G60" s="23" t="str">
        <f aca="false">'Base Receitas'!G60</f>
        <v>contrato  </v>
      </c>
      <c r="H60" s="35" t="n">
        <f aca="false">'Base Receitas'!H60</f>
        <v>46082</v>
      </c>
      <c r="I60" s="23" t="n">
        <f aca="false">'Base Receitas'!I60</f>
        <v>0</v>
      </c>
      <c r="J60" s="24" t="n">
        <f aca="false">'Base Receitas'!J60</f>
        <v>0</v>
      </c>
      <c r="K60" s="23" t="str">
        <f aca="false">IF(B60="Receita recorrente","Recorrente","Pontual")</f>
        <v>Recorrente</v>
      </c>
      <c r="L60" s="23" t="str">
        <f aca="false">IF(J60&gt;0,"🔔 Cobrar","OK")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563EB"/>
    <pageSetUpPr fitToPage="false"/>
  </sheetPr>
  <dimension ref="A1:K1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10"/>
    <col collapsed="false" customWidth="true" hidden="false" outlineLevel="0" max="6" min="6" style="1" width="16"/>
    <col collapsed="false" customWidth="true" hidden="false" outlineLevel="0" max="10" min="7" style="1" width="14"/>
    <col collapsed="false" customWidth="true" hidden="false" outlineLevel="0" max="11" min="11" style="1" width="18"/>
  </cols>
  <sheetData>
    <row r="1" customFormat="false" ht="15" hidden="false" customHeight="false" outlineLevel="0" collapsed="false">
      <c r="A1" s="36" t="s">
        <v>51</v>
      </c>
      <c r="B1" s="36" t="s">
        <v>22</v>
      </c>
      <c r="C1" s="36" t="s">
        <v>17</v>
      </c>
      <c r="D1" s="36" t="s">
        <v>90</v>
      </c>
      <c r="E1" s="36" t="s">
        <v>93</v>
      </c>
      <c r="F1" s="36" t="s">
        <v>91</v>
      </c>
      <c r="G1" s="36" t="s">
        <v>92</v>
      </c>
      <c r="H1" s="36" t="s">
        <v>101</v>
      </c>
      <c r="I1" s="36" t="s">
        <v>94</v>
      </c>
      <c r="J1" s="36" t="s">
        <v>102</v>
      </c>
      <c r="K1" s="36" t="s">
        <v>103</v>
      </c>
    </row>
    <row r="2" customFormat="false" ht="15" hidden="false" customHeight="false" outlineLevel="0" collapsed="false">
      <c r="A2" s="23" t="str">
        <f aca="false">'Base Despesas'!A2</f>
        <v>Janeiro</v>
      </c>
      <c r="B2" s="23" t="str">
        <f aca="false">'Base Despesas'!B2</f>
        <v>Salários e Benefícios</v>
      </c>
      <c r="C2" s="23" t="str">
        <f aca="false">'Base Despesas'!C2</f>
        <v>Gestor de Tráfego - Eduardo Alves</v>
      </c>
      <c r="D2" s="24" t="n">
        <f aca="false">'Base Despesas'!D2</f>
        <v>3446</v>
      </c>
      <c r="E2" s="23" t="n">
        <f aca="false">'Base Despesas'!E2</f>
        <v>20</v>
      </c>
      <c r="F2" s="23" t="str">
        <f aca="false">'Base Despesas'!F2</f>
        <v>Pix</v>
      </c>
      <c r="G2" s="23" t="str">
        <f aca="false">'Base Despesas'!G2</f>
        <v>PAGO</v>
      </c>
      <c r="H2" s="23" t="n">
        <f aca="false">'Base Despesas'!H2</f>
        <v>0</v>
      </c>
      <c r="I2" s="23" t="n">
        <f aca="false">'Base Despesas'!I2</f>
        <v>0</v>
      </c>
      <c r="J2" s="23" t="str">
        <f aca="false">IF(OR(B2="Salários e Benefícios",B2="Licenças / Ferramentas",B2="Custos Fixos"),"Fixa","Variável")</f>
        <v>Fixa</v>
      </c>
      <c r="K2" s="23" t="str">
        <f aca="false">IF(G2="PAGO","OK",IF(D2&gt;0,"⚠ Revisar","-"))</f>
        <v>OK</v>
      </c>
    </row>
    <row r="3" customFormat="false" ht="15" hidden="false" customHeight="false" outlineLevel="0" collapsed="false">
      <c r="A3" s="23" t="str">
        <f aca="false">'Base Despesas'!A3</f>
        <v>Fevereiro</v>
      </c>
      <c r="B3" s="23" t="str">
        <f aca="false">'Base Despesas'!B3</f>
        <v>Salários e Benefícios</v>
      </c>
      <c r="C3" s="23" t="str">
        <f aca="false">'Base Despesas'!C3</f>
        <v>Gestor de Tráfego - Eduardo Alves</v>
      </c>
      <c r="D3" s="24" t="n">
        <f aca="false">'Base Despesas'!D3</f>
        <v>3446</v>
      </c>
      <c r="E3" s="23" t="n">
        <f aca="false">'Base Despesas'!E3</f>
        <v>20</v>
      </c>
      <c r="F3" s="23" t="n">
        <f aca="false">'Base Despesas'!F3</f>
        <v>0</v>
      </c>
      <c r="G3" s="23" t="str">
        <f aca="false">'Base Despesas'!G3</f>
        <v>PAGO</v>
      </c>
      <c r="H3" s="23" t="n">
        <f aca="false">'Base Despesas'!H3</f>
        <v>0</v>
      </c>
      <c r="I3" s="23" t="n">
        <f aca="false">'Base Despesas'!I3</f>
        <v>0</v>
      </c>
      <c r="J3" s="23" t="str">
        <f aca="false">IF(OR(B3="Salários e Benefícios",B3="Licenças / Ferramentas",B3="Custos Fixos"),"Fixa","Variável")</f>
        <v>Fixa</v>
      </c>
      <c r="K3" s="23" t="str">
        <f aca="false">IF(G3="PAGO","OK",IF(D3&gt;0,"⚠ Revisar","-"))</f>
        <v>OK</v>
      </c>
    </row>
    <row r="4" customFormat="false" ht="15" hidden="false" customHeight="false" outlineLevel="0" collapsed="false">
      <c r="A4" s="23" t="str">
        <f aca="false">'Base Despesas'!A4</f>
        <v>Março</v>
      </c>
      <c r="B4" s="23" t="str">
        <f aca="false">'Base Despesas'!B4</f>
        <v>Salários e Benefícios</v>
      </c>
      <c r="C4" s="23" t="str">
        <f aca="false">'Base Despesas'!C4</f>
        <v>Gestor de Tráfego - Eduardo Alves</v>
      </c>
      <c r="D4" s="24" t="n">
        <f aca="false">'Base Despesas'!D4</f>
        <v>3446</v>
      </c>
      <c r="E4" s="23" t="n">
        <f aca="false">'Base Despesas'!E4</f>
        <v>20</v>
      </c>
      <c r="F4" s="23" t="n">
        <f aca="false">'Base Despesas'!F4</f>
        <v>0</v>
      </c>
      <c r="G4" s="23" t="n">
        <f aca="false">'Base Despesas'!G4</f>
        <v>0</v>
      </c>
      <c r="H4" s="23" t="n">
        <f aca="false">'Base Despesas'!H4</f>
        <v>0</v>
      </c>
      <c r="I4" s="23" t="n">
        <f aca="false">'Base Despesas'!I4</f>
        <v>0</v>
      </c>
      <c r="J4" s="23" t="str">
        <f aca="false">IF(OR(B4="Salários e Benefícios",B4="Licenças / Ferramentas",B4="Custos Fixos"),"Fixa","Variável")</f>
        <v>Fixa</v>
      </c>
      <c r="K4" s="23" t="str">
        <f aca="false">IF(G4="PAGO","OK",IF(D4&gt;0,"⚠ Revisar","-"))</f>
        <v>⚠ Revisar</v>
      </c>
    </row>
    <row r="5" customFormat="false" ht="15" hidden="false" customHeight="false" outlineLevel="0" collapsed="false">
      <c r="A5" s="23" t="str">
        <f aca="false">'Base Despesas'!A5</f>
        <v>Abril</v>
      </c>
      <c r="B5" s="23" t="str">
        <f aca="false">'Base Despesas'!B5</f>
        <v>Salários e Benefícios</v>
      </c>
      <c r="C5" s="23" t="str">
        <f aca="false">'Base Despesas'!C5</f>
        <v>Gestor de Tráfego - Eduardo Alves</v>
      </c>
      <c r="D5" s="24" t="n">
        <f aca="false">'Base Despesas'!D5</f>
        <v>3446</v>
      </c>
      <c r="E5" s="23" t="n">
        <f aca="false">'Base Despesas'!E5</f>
        <v>20</v>
      </c>
      <c r="F5" s="23" t="n">
        <f aca="false">'Base Despesas'!F5</f>
        <v>0</v>
      </c>
      <c r="G5" s="23" t="n">
        <f aca="false">'Base Despesas'!G5</f>
        <v>0</v>
      </c>
      <c r="H5" s="23" t="n">
        <f aca="false">'Base Despesas'!H5</f>
        <v>0</v>
      </c>
      <c r="I5" s="23" t="n">
        <f aca="false">'Base Despesas'!I5</f>
        <v>0</v>
      </c>
      <c r="J5" s="23" t="str">
        <f aca="false">IF(OR(B5="Salários e Benefícios",B5="Licenças / Ferramentas",B5="Custos Fixos"),"Fixa","Variável")</f>
        <v>Fixa</v>
      </c>
      <c r="K5" s="23" t="str">
        <f aca="false">IF(G5="PAGO","OK",IF(D5&gt;0,"⚠ Revisar","-"))</f>
        <v>⚠ Revisar</v>
      </c>
    </row>
    <row r="6" customFormat="false" ht="15" hidden="false" customHeight="false" outlineLevel="0" collapsed="false">
      <c r="A6" s="23" t="str">
        <f aca="false">'Base Despesas'!A6</f>
        <v>Maio</v>
      </c>
      <c r="B6" s="23" t="str">
        <f aca="false">'Base Despesas'!B6</f>
        <v>Salários e Benefícios</v>
      </c>
      <c r="C6" s="23" t="str">
        <f aca="false">'Base Despesas'!C6</f>
        <v>Gestor de Tráfego - Eduardo Alves</v>
      </c>
      <c r="D6" s="24" t="n">
        <f aca="false">'Base Despesas'!D6</f>
        <v>3446</v>
      </c>
      <c r="E6" s="23" t="n">
        <f aca="false">'Base Despesas'!E6</f>
        <v>20</v>
      </c>
      <c r="F6" s="23" t="n">
        <f aca="false">'Base Despesas'!F6</f>
        <v>0</v>
      </c>
      <c r="G6" s="23" t="n">
        <f aca="false">'Base Despesas'!G6</f>
        <v>0</v>
      </c>
      <c r="H6" s="23" t="n">
        <f aca="false">'Base Despesas'!H6</f>
        <v>0</v>
      </c>
      <c r="I6" s="23" t="n">
        <f aca="false">'Base Despesas'!I6</f>
        <v>0</v>
      </c>
      <c r="J6" s="23" t="str">
        <f aca="false">IF(OR(B6="Salários e Benefícios",B6="Licenças / Ferramentas",B6="Custos Fixos"),"Fixa","Variável")</f>
        <v>Fixa</v>
      </c>
      <c r="K6" s="23" t="str">
        <f aca="false">IF(G6="PAGO","OK",IF(D6&gt;0,"⚠ Revisar","-"))</f>
        <v>⚠ Revisar</v>
      </c>
    </row>
    <row r="7" customFormat="false" ht="15" hidden="false" customHeight="false" outlineLevel="0" collapsed="false">
      <c r="A7" s="23" t="str">
        <f aca="false">'Base Despesas'!A7</f>
        <v>Fevereiro</v>
      </c>
      <c r="B7" s="23" t="str">
        <f aca="false">'Base Despesas'!B7</f>
        <v>Salários e Benefícios</v>
      </c>
      <c r="C7" s="23" t="str">
        <f aca="false">'Base Despesas'!C7</f>
        <v>VT Eduardo</v>
      </c>
      <c r="D7" s="24" t="n">
        <f aca="false">'Base Despesas'!D7</f>
        <v>457.6</v>
      </c>
      <c r="E7" s="23" t="n">
        <f aca="false">'Base Despesas'!E7</f>
        <v>0</v>
      </c>
      <c r="F7" s="23" t="n">
        <f aca="false">'Base Despesas'!F7</f>
        <v>0</v>
      </c>
      <c r="G7" s="23" t="n">
        <f aca="false">'Base Despesas'!G7</f>
        <v>0</v>
      </c>
      <c r="H7" s="23" t="n">
        <f aca="false">'Base Despesas'!H7</f>
        <v>0</v>
      </c>
      <c r="I7" s="23" t="n">
        <f aca="false">'Base Despesas'!I7</f>
        <v>0</v>
      </c>
      <c r="J7" s="23" t="str">
        <f aca="false">IF(OR(B7="Salários e Benefícios",B7="Licenças / Ferramentas",B7="Custos Fixos"),"Fixa","Variável")</f>
        <v>Fixa</v>
      </c>
      <c r="K7" s="23" t="str">
        <f aca="false">IF(G7="PAGO","OK",IF(D7&gt;0,"⚠ Revisar","-"))</f>
        <v>⚠ Revisar</v>
      </c>
    </row>
    <row r="8" customFormat="false" ht="15" hidden="false" customHeight="false" outlineLevel="0" collapsed="false">
      <c r="A8" s="23" t="str">
        <f aca="false">'Base Despesas'!A8</f>
        <v>Janeiro</v>
      </c>
      <c r="B8" s="23" t="str">
        <f aca="false">'Base Despesas'!B8</f>
        <v>Salários e Benefícios</v>
      </c>
      <c r="C8" s="23" t="str">
        <f aca="false">'Base Despesas'!C8</f>
        <v>Estagiária de Marketing - Thais</v>
      </c>
      <c r="D8" s="24" t="n">
        <f aca="false">'Base Despesas'!D8</f>
        <v>1834</v>
      </c>
      <c r="E8" s="23" t="n">
        <f aca="false">'Base Despesas'!E8</f>
        <v>23</v>
      </c>
      <c r="F8" s="23" t="str">
        <f aca="false">'Base Despesas'!F8</f>
        <v>Pix</v>
      </c>
      <c r="G8" s="23" t="str">
        <f aca="false">'Base Despesas'!G8</f>
        <v>PAGO</v>
      </c>
      <c r="H8" s="23" t="n">
        <f aca="false">'Base Despesas'!H8</f>
        <v>0</v>
      </c>
      <c r="I8" s="23" t="n">
        <f aca="false">'Base Despesas'!I8</f>
        <v>0</v>
      </c>
      <c r="J8" s="23" t="str">
        <f aca="false">IF(OR(B8="Salários e Benefícios",B8="Licenças / Ferramentas",B8="Custos Fixos"),"Fixa","Variável")</f>
        <v>Fixa</v>
      </c>
      <c r="K8" s="23" t="str">
        <f aca="false">IF(G8="PAGO","OK",IF(D8&gt;0,"⚠ Revisar","-"))</f>
        <v>OK</v>
      </c>
    </row>
    <row r="9" customFormat="false" ht="15" hidden="false" customHeight="false" outlineLevel="0" collapsed="false">
      <c r="A9" s="23" t="str">
        <f aca="false">'Base Despesas'!A9</f>
        <v>Fevereiro</v>
      </c>
      <c r="B9" s="23" t="str">
        <f aca="false">'Base Despesas'!B9</f>
        <v>Salários e Benefícios</v>
      </c>
      <c r="C9" s="23" t="str">
        <f aca="false">'Base Despesas'!C9</f>
        <v>Estagiária de Marketing - Thais</v>
      </c>
      <c r="D9" s="24" t="n">
        <f aca="false">'Base Despesas'!D9</f>
        <v>1834</v>
      </c>
      <c r="E9" s="23" t="n">
        <f aca="false">'Base Despesas'!E9</f>
        <v>23</v>
      </c>
      <c r="F9" s="23" t="n">
        <f aca="false">'Base Despesas'!F9</f>
        <v>0</v>
      </c>
      <c r="G9" s="23" t="str">
        <f aca="false">'Base Despesas'!G9</f>
        <v>PAGO</v>
      </c>
      <c r="H9" s="23" t="n">
        <f aca="false">'Base Despesas'!H9</f>
        <v>0</v>
      </c>
      <c r="I9" s="23" t="n">
        <f aca="false">'Base Despesas'!I9</f>
        <v>0</v>
      </c>
      <c r="J9" s="23" t="str">
        <f aca="false">IF(OR(B9="Salários e Benefícios",B9="Licenças / Ferramentas",B9="Custos Fixos"),"Fixa","Variável")</f>
        <v>Fixa</v>
      </c>
      <c r="K9" s="23" t="str">
        <f aca="false">IF(G9="PAGO","OK",IF(D9&gt;0,"⚠ Revisar","-"))</f>
        <v>OK</v>
      </c>
    </row>
    <row r="10" customFormat="false" ht="15" hidden="false" customHeight="false" outlineLevel="0" collapsed="false">
      <c r="A10" s="23" t="str">
        <f aca="false">'Base Despesas'!A10</f>
        <v>Março</v>
      </c>
      <c r="B10" s="23" t="str">
        <f aca="false">'Base Despesas'!B10</f>
        <v>Salários e Benefícios</v>
      </c>
      <c r="C10" s="23" t="str">
        <f aca="false">'Base Despesas'!C10</f>
        <v>Estagiária de Marketing - Thais</v>
      </c>
      <c r="D10" s="24" t="n">
        <f aca="false">'Base Despesas'!D10</f>
        <v>1834</v>
      </c>
      <c r="E10" s="23" t="n">
        <f aca="false">'Base Despesas'!E10</f>
        <v>23</v>
      </c>
      <c r="F10" s="23" t="n">
        <f aca="false">'Base Despesas'!F10</f>
        <v>0</v>
      </c>
      <c r="G10" s="23" t="n">
        <f aca="false">'Base Despesas'!G10</f>
        <v>0</v>
      </c>
      <c r="H10" s="23" t="n">
        <f aca="false">'Base Despesas'!H10</f>
        <v>0</v>
      </c>
      <c r="I10" s="23" t="n">
        <f aca="false">'Base Despesas'!I10</f>
        <v>0</v>
      </c>
      <c r="J10" s="23" t="str">
        <f aca="false">IF(OR(B10="Salários e Benefícios",B10="Licenças / Ferramentas",B10="Custos Fixos"),"Fixa","Variável")</f>
        <v>Fixa</v>
      </c>
      <c r="K10" s="23" t="str">
        <f aca="false">IF(G10="PAGO","OK",IF(D10&gt;0,"⚠ Revisar","-"))</f>
        <v>⚠ Revisar</v>
      </c>
    </row>
    <row r="11" customFormat="false" ht="15" hidden="false" customHeight="false" outlineLevel="0" collapsed="false">
      <c r="A11" s="23" t="str">
        <f aca="false">'Base Despesas'!A11</f>
        <v>Abril</v>
      </c>
      <c r="B11" s="23" t="str">
        <f aca="false">'Base Despesas'!B11</f>
        <v>Salários e Benefícios</v>
      </c>
      <c r="C11" s="23" t="str">
        <f aca="false">'Base Despesas'!C11</f>
        <v>Estagiária de Marketing - Thais</v>
      </c>
      <c r="D11" s="24" t="n">
        <f aca="false">'Base Despesas'!D11</f>
        <v>1834</v>
      </c>
      <c r="E11" s="23" t="n">
        <f aca="false">'Base Despesas'!E11</f>
        <v>23</v>
      </c>
      <c r="F11" s="23" t="n">
        <f aca="false">'Base Despesas'!F11</f>
        <v>0</v>
      </c>
      <c r="G11" s="23" t="n">
        <f aca="false">'Base Despesas'!G11</f>
        <v>0</v>
      </c>
      <c r="H11" s="23" t="n">
        <f aca="false">'Base Despesas'!H11</f>
        <v>0</v>
      </c>
      <c r="I11" s="23" t="n">
        <f aca="false">'Base Despesas'!I11</f>
        <v>0</v>
      </c>
      <c r="J11" s="23" t="str">
        <f aca="false">IF(OR(B11="Salários e Benefícios",B11="Licenças / Ferramentas",B11="Custos Fixos"),"Fixa","Variável")</f>
        <v>Fixa</v>
      </c>
      <c r="K11" s="23" t="str">
        <f aca="false">IF(G11="PAGO","OK",IF(D11&gt;0,"⚠ Revisar","-"))</f>
        <v>⚠ Revisar</v>
      </c>
    </row>
    <row r="12" customFormat="false" ht="15" hidden="false" customHeight="false" outlineLevel="0" collapsed="false">
      <c r="A12" s="23" t="str">
        <f aca="false">'Base Despesas'!A12</f>
        <v>Maio</v>
      </c>
      <c r="B12" s="23" t="str">
        <f aca="false">'Base Despesas'!B12</f>
        <v>Salários e Benefícios</v>
      </c>
      <c r="C12" s="23" t="str">
        <f aca="false">'Base Despesas'!C12</f>
        <v>Estagiária de Marketing - Thais</v>
      </c>
      <c r="D12" s="24" t="n">
        <f aca="false">'Base Despesas'!D12</f>
        <v>1834</v>
      </c>
      <c r="E12" s="23" t="n">
        <f aca="false">'Base Despesas'!E12</f>
        <v>23</v>
      </c>
      <c r="F12" s="23" t="n">
        <f aca="false">'Base Despesas'!F12</f>
        <v>0</v>
      </c>
      <c r="G12" s="23" t="n">
        <f aca="false">'Base Despesas'!G12</f>
        <v>0</v>
      </c>
      <c r="H12" s="23" t="n">
        <f aca="false">'Base Despesas'!H12</f>
        <v>0</v>
      </c>
      <c r="I12" s="23" t="n">
        <f aca="false">'Base Despesas'!I12</f>
        <v>0</v>
      </c>
      <c r="J12" s="23" t="str">
        <f aca="false">IF(OR(B12="Salários e Benefícios",B12="Licenças / Ferramentas",B12="Custos Fixos"),"Fixa","Variável")</f>
        <v>Fixa</v>
      </c>
      <c r="K12" s="23" t="str">
        <f aca="false">IF(G12="PAGO","OK",IF(D12&gt;0,"⚠ Revisar","-"))</f>
        <v>⚠ Revisar</v>
      </c>
    </row>
    <row r="13" customFormat="false" ht="15" hidden="false" customHeight="false" outlineLevel="0" collapsed="false">
      <c r="A13" s="23" t="str">
        <f aca="false">'Base Despesas'!A13</f>
        <v>Janeiro</v>
      </c>
      <c r="B13" s="23" t="str">
        <f aca="false">'Base Despesas'!B13</f>
        <v>Salários e Benefícios</v>
      </c>
      <c r="C13" s="23" t="str">
        <f aca="false">'Base Despesas'!C13</f>
        <v>Designer Pleno - Welesson</v>
      </c>
      <c r="D13" s="24" t="n">
        <f aca="false">'Base Despesas'!D13</f>
        <v>2500</v>
      </c>
      <c r="E13" s="23" t="n">
        <f aca="false">'Base Despesas'!E13</f>
        <v>20</v>
      </c>
      <c r="F13" s="23" t="str">
        <f aca="false">'Base Despesas'!F13</f>
        <v>Pix</v>
      </c>
      <c r="G13" s="23" t="str">
        <f aca="false">'Base Despesas'!G13</f>
        <v>PAGO</v>
      </c>
      <c r="H13" s="23" t="n">
        <f aca="false">'Base Despesas'!H13</f>
        <v>0</v>
      </c>
      <c r="I13" s="23" t="n">
        <f aca="false">'Base Despesas'!I13</f>
        <v>0</v>
      </c>
      <c r="J13" s="23" t="str">
        <f aca="false">IF(OR(B13="Salários e Benefícios",B13="Licenças / Ferramentas",B13="Custos Fixos"),"Fixa","Variável")</f>
        <v>Fixa</v>
      </c>
      <c r="K13" s="23" t="str">
        <f aca="false">IF(G13="PAGO","OK",IF(D13&gt;0,"⚠ Revisar","-"))</f>
        <v>OK</v>
      </c>
    </row>
    <row r="14" customFormat="false" ht="15" hidden="false" customHeight="false" outlineLevel="0" collapsed="false">
      <c r="A14" s="23" t="str">
        <f aca="false">'Base Despesas'!A14</f>
        <v>Fevereiro</v>
      </c>
      <c r="B14" s="23" t="str">
        <f aca="false">'Base Despesas'!B14</f>
        <v>Salários e Benefícios</v>
      </c>
      <c r="C14" s="23" t="str">
        <f aca="false">'Base Despesas'!C14</f>
        <v>Designer Pleno - Welesson</v>
      </c>
      <c r="D14" s="24" t="n">
        <f aca="false">'Base Despesas'!D14</f>
        <v>2500</v>
      </c>
      <c r="E14" s="23" t="n">
        <f aca="false">'Base Despesas'!E14</f>
        <v>20</v>
      </c>
      <c r="F14" s="23" t="n">
        <f aca="false">'Base Despesas'!F14</f>
        <v>0</v>
      </c>
      <c r="G14" s="23" t="str">
        <f aca="false">'Base Despesas'!G14</f>
        <v>PAGO</v>
      </c>
      <c r="H14" s="23" t="n">
        <f aca="false">'Base Despesas'!H14</f>
        <v>0</v>
      </c>
      <c r="I14" s="23" t="n">
        <f aca="false">'Base Despesas'!I14</f>
        <v>0</v>
      </c>
      <c r="J14" s="23" t="str">
        <f aca="false">IF(OR(B14="Salários e Benefícios",B14="Licenças / Ferramentas",B14="Custos Fixos"),"Fixa","Variável")</f>
        <v>Fixa</v>
      </c>
      <c r="K14" s="23" t="str">
        <f aca="false">IF(G14="PAGO","OK",IF(D14&gt;0,"⚠ Revisar","-"))</f>
        <v>OK</v>
      </c>
    </row>
    <row r="15" customFormat="false" ht="15" hidden="false" customHeight="false" outlineLevel="0" collapsed="false">
      <c r="A15" s="23" t="str">
        <f aca="false">'Base Despesas'!A15</f>
        <v>Março</v>
      </c>
      <c r="B15" s="23" t="str">
        <f aca="false">'Base Despesas'!B15</f>
        <v>Salários e Benefícios</v>
      </c>
      <c r="C15" s="23" t="str">
        <f aca="false">'Base Despesas'!C15</f>
        <v>Designer Pleno - Welesson</v>
      </c>
      <c r="D15" s="24" t="n">
        <f aca="false">'Base Despesas'!D15</f>
        <v>2500</v>
      </c>
      <c r="E15" s="23" t="n">
        <f aca="false">'Base Despesas'!E15</f>
        <v>20</v>
      </c>
      <c r="F15" s="23" t="n">
        <f aca="false">'Base Despesas'!F15</f>
        <v>0</v>
      </c>
      <c r="G15" s="23" t="n">
        <f aca="false">'Base Despesas'!G15</f>
        <v>0</v>
      </c>
      <c r="H15" s="23" t="n">
        <f aca="false">'Base Despesas'!H15</f>
        <v>0</v>
      </c>
      <c r="I15" s="23" t="n">
        <f aca="false">'Base Despesas'!I15</f>
        <v>0</v>
      </c>
      <c r="J15" s="23" t="str">
        <f aca="false">IF(OR(B15="Salários e Benefícios",B15="Licenças / Ferramentas",B15="Custos Fixos"),"Fixa","Variável")</f>
        <v>Fixa</v>
      </c>
      <c r="K15" s="23" t="str">
        <f aca="false">IF(G15="PAGO","OK",IF(D15&gt;0,"⚠ Revisar","-"))</f>
        <v>⚠ Revisar</v>
      </c>
    </row>
    <row r="16" customFormat="false" ht="15" hidden="false" customHeight="false" outlineLevel="0" collapsed="false">
      <c r="A16" s="23" t="str">
        <f aca="false">'Base Despesas'!A16</f>
        <v>Abril</v>
      </c>
      <c r="B16" s="23" t="str">
        <f aca="false">'Base Despesas'!B16</f>
        <v>Salários e Benefícios</v>
      </c>
      <c r="C16" s="23" t="str">
        <f aca="false">'Base Despesas'!C16</f>
        <v>Designer Pleno - Welesson</v>
      </c>
      <c r="D16" s="24" t="n">
        <f aca="false">'Base Despesas'!D16</f>
        <v>2500</v>
      </c>
      <c r="E16" s="23" t="n">
        <f aca="false">'Base Despesas'!E16</f>
        <v>20</v>
      </c>
      <c r="F16" s="23" t="n">
        <f aca="false">'Base Despesas'!F16</f>
        <v>0</v>
      </c>
      <c r="G16" s="23" t="n">
        <f aca="false">'Base Despesas'!G16</f>
        <v>0</v>
      </c>
      <c r="H16" s="23" t="n">
        <f aca="false">'Base Despesas'!H16</f>
        <v>0</v>
      </c>
      <c r="I16" s="23" t="n">
        <f aca="false">'Base Despesas'!I16</f>
        <v>0</v>
      </c>
      <c r="J16" s="23" t="str">
        <f aca="false">IF(OR(B16="Salários e Benefícios",B16="Licenças / Ferramentas",B16="Custos Fixos"),"Fixa","Variável")</f>
        <v>Fixa</v>
      </c>
      <c r="K16" s="23" t="str">
        <f aca="false">IF(G16="PAGO","OK",IF(D16&gt;0,"⚠ Revisar","-"))</f>
        <v>⚠ Revisar</v>
      </c>
    </row>
    <row r="17" customFormat="false" ht="15" hidden="false" customHeight="false" outlineLevel="0" collapsed="false">
      <c r="A17" s="23" t="str">
        <f aca="false">'Base Despesas'!A17</f>
        <v>Maio</v>
      </c>
      <c r="B17" s="23" t="str">
        <f aca="false">'Base Despesas'!B17</f>
        <v>Salários e Benefícios</v>
      </c>
      <c r="C17" s="23" t="str">
        <f aca="false">'Base Despesas'!C17</f>
        <v>Designer Pleno - Welesson</v>
      </c>
      <c r="D17" s="24" t="n">
        <f aca="false">'Base Despesas'!D17</f>
        <v>2500</v>
      </c>
      <c r="E17" s="23" t="n">
        <f aca="false">'Base Despesas'!E17</f>
        <v>20</v>
      </c>
      <c r="F17" s="23" t="n">
        <f aca="false">'Base Despesas'!F17</f>
        <v>0</v>
      </c>
      <c r="G17" s="23" t="n">
        <f aca="false">'Base Despesas'!G17</f>
        <v>0</v>
      </c>
      <c r="H17" s="23" t="n">
        <f aca="false">'Base Despesas'!H17</f>
        <v>0</v>
      </c>
      <c r="I17" s="23" t="n">
        <f aca="false">'Base Despesas'!I17</f>
        <v>0</v>
      </c>
      <c r="J17" s="23" t="str">
        <f aca="false">IF(OR(B17="Salários e Benefícios",B17="Licenças / Ferramentas",B17="Custos Fixos"),"Fixa","Variável")</f>
        <v>Fixa</v>
      </c>
      <c r="K17" s="23" t="str">
        <f aca="false">IF(G17="PAGO","OK",IF(D17&gt;0,"⚠ Revisar","-"))</f>
        <v>⚠ Revisar</v>
      </c>
    </row>
    <row r="18" customFormat="false" ht="15" hidden="false" customHeight="false" outlineLevel="0" collapsed="false">
      <c r="A18" s="23" t="str">
        <f aca="false">'Base Despesas'!A18</f>
        <v>Janeiro</v>
      </c>
      <c r="B18" s="23" t="str">
        <f aca="false">'Base Despesas'!B18</f>
        <v>Salários e Benefícios</v>
      </c>
      <c r="C18" s="23" t="str">
        <f aca="false">'Base Despesas'!C18</f>
        <v>Designer Junior - Mateus</v>
      </c>
      <c r="D18" s="24" t="n">
        <f aca="false">'Base Despesas'!D18</f>
        <v>2500</v>
      </c>
      <c r="E18" s="23" t="n">
        <f aca="false">'Base Despesas'!E18</f>
        <v>13</v>
      </c>
      <c r="F18" s="23" t="str">
        <f aca="false">'Base Despesas'!F18</f>
        <v>Pix</v>
      </c>
      <c r="G18" s="23" t="str">
        <f aca="false">'Base Despesas'!G18</f>
        <v>PAGO</v>
      </c>
      <c r="H18" s="23" t="n">
        <f aca="false">'Base Despesas'!H18</f>
        <v>0</v>
      </c>
      <c r="I18" s="23" t="n">
        <f aca="false">'Base Despesas'!I18</f>
        <v>0</v>
      </c>
      <c r="J18" s="23" t="str">
        <f aca="false">IF(OR(B18="Salários e Benefícios",B18="Licenças / Ferramentas",B18="Custos Fixos"),"Fixa","Variável")</f>
        <v>Fixa</v>
      </c>
      <c r="K18" s="23" t="str">
        <f aca="false">IF(G18="PAGO","OK",IF(D18&gt;0,"⚠ Revisar","-"))</f>
        <v>OK</v>
      </c>
    </row>
    <row r="19" customFormat="false" ht="15" hidden="false" customHeight="false" outlineLevel="0" collapsed="false">
      <c r="A19" s="23" t="str">
        <f aca="false">'Base Despesas'!A19</f>
        <v>Fevereiro</v>
      </c>
      <c r="B19" s="23" t="str">
        <f aca="false">'Base Despesas'!B19</f>
        <v>Salários e Benefícios</v>
      </c>
      <c r="C19" s="23" t="str">
        <f aca="false">'Base Despesas'!C19</f>
        <v>Designer Junior - Mateus</v>
      </c>
      <c r="D19" s="24" t="n">
        <f aca="false">'Base Despesas'!D19</f>
        <v>2500</v>
      </c>
      <c r="E19" s="23" t="n">
        <f aca="false">'Base Despesas'!E19</f>
        <v>13</v>
      </c>
      <c r="F19" s="23" t="n">
        <f aca="false">'Base Despesas'!F19</f>
        <v>0</v>
      </c>
      <c r="G19" s="23" t="str">
        <f aca="false">'Base Despesas'!G19</f>
        <v>PAGO</v>
      </c>
      <c r="H19" s="23" t="n">
        <f aca="false">'Base Despesas'!H19</f>
        <v>0</v>
      </c>
      <c r="I19" s="23" t="n">
        <f aca="false">'Base Despesas'!I19</f>
        <v>0</v>
      </c>
      <c r="J19" s="23" t="str">
        <f aca="false">IF(OR(B19="Salários e Benefícios",B19="Licenças / Ferramentas",B19="Custos Fixos"),"Fixa","Variável")</f>
        <v>Fixa</v>
      </c>
      <c r="K19" s="23" t="str">
        <f aca="false">IF(G19="PAGO","OK",IF(D19&gt;0,"⚠ Revisar","-"))</f>
        <v>OK</v>
      </c>
    </row>
    <row r="20" customFormat="false" ht="15" hidden="false" customHeight="false" outlineLevel="0" collapsed="false">
      <c r="A20" s="23" t="str">
        <f aca="false">'Base Despesas'!A20</f>
        <v>Março</v>
      </c>
      <c r="B20" s="23" t="str">
        <f aca="false">'Base Despesas'!B20</f>
        <v>Salários e Benefícios</v>
      </c>
      <c r="C20" s="23" t="str">
        <f aca="false">'Base Despesas'!C20</f>
        <v>Designer Junior - Mateus</v>
      </c>
      <c r="D20" s="24" t="n">
        <f aca="false">'Base Despesas'!D20</f>
        <v>2500</v>
      </c>
      <c r="E20" s="23" t="n">
        <f aca="false">'Base Despesas'!E20</f>
        <v>13</v>
      </c>
      <c r="F20" s="23" t="n">
        <f aca="false">'Base Despesas'!F20</f>
        <v>0</v>
      </c>
      <c r="G20" s="23" t="n">
        <f aca="false">'Base Despesas'!G20</f>
        <v>0</v>
      </c>
      <c r="H20" s="23" t="n">
        <f aca="false">'Base Despesas'!H20</f>
        <v>0</v>
      </c>
      <c r="I20" s="23" t="n">
        <f aca="false">'Base Despesas'!I20</f>
        <v>0</v>
      </c>
      <c r="J20" s="23" t="str">
        <f aca="false">IF(OR(B20="Salários e Benefícios",B20="Licenças / Ferramentas",B20="Custos Fixos"),"Fixa","Variável")</f>
        <v>Fixa</v>
      </c>
      <c r="K20" s="23" t="str">
        <f aca="false">IF(G20="PAGO","OK",IF(D20&gt;0,"⚠ Revisar","-"))</f>
        <v>⚠ Revisar</v>
      </c>
    </row>
    <row r="21" customFormat="false" ht="15" hidden="false" customHeight="false" outlineLevel="0" collapsed="false">
      <c r="A21" s="23" t="str">
        <f aca="false">'Base Despesas'!A21</f>
        <v>Abril</v>
      </c>
      <c r="B21" s="23" t="str">
        <f aca="false">'Base Despesas'!B21</f>
        <v>Salários e Benefícios</v>
      </c>
      <c r="C21" s="23" t="str">
        <f aca="false">'Base Despesas'!C21</f>
        <v>Designer Junior - Mateus</v>
      </c>
      <c r="D21" s="24" t="n">
        <f aca="false">'Base Despesas'!D21</f>
        <v>2500</v>
      </c>
      <c r="E21" s="23" t="n">
        <f aca="false">'Base Despesas'!E21</f>
        <v>13</v>
      </c>
      <c r="F21" s="23" t="n">
        <f aca="false">'Base Despesas'!F21</f>
        <v>0</v>
      </c>
      <c r="G21" s="23" t="n">
        <f aca="false">'Base Despesas'!G21</f>
        <v>0</v>
      </c>
      <c r="H21" s="23" t="n">
        <f aca="false">'Base Despesas'!H21</f>
        <v>0</v>
      </c>
      <c r="I21" s="23" t="n">
        <f aca="false">'Base Despesas'!I21</f>
        <v>0</v>
      </c>
      <c r="J21" s="23" t="str">
        <f aca="false">IF(OR(B21="Salários e Benefícios",B21="Licenças / Ferramentas",B21="Custos Fixos"),"Fixa","Variável")</f>
        <v>Fixa</v>
      </c>
      <c r="K21" s="23" t="str">
        <f aca="false">IF(G21="PAGO","OK",IF(D21&gt;0,"⚠ Revisar","-"))</f>
        <v>⚠ Revisar</v>
      </c>
    </row>
    <row r="22" customFormat="false" ht="15" hidden="false" customHeight="false" outlineLevel="0" collapsed="false">
      <c r="A22" s="23" t="str">
        <f aca="false">'Base Despesas'!A22</f>
        <v>Maio</v>
      </c>
      <c r="B22" s="23" t="str">
        <f aca="false">'Base Despesas'!B22</f>
        <v>Salários e Benefícios</v>
      </c>
      <c r="C22" s="23" t="str">
        <f aca="false">'Base Despesas'!C22</f>
        <v>Designer Junior - Mateus</v>
      </c>
      <c r="D22" s="24" t="n">
        <f aca="false">'Base Despesas'!D22</f>
        <v>2500</v>
      </c>
      <c r="E22" s="23" t="n">
        <f aca="false">'Base Despesas'!E22</f>
        <v>13</v>
      </c>
      <c r="F22" s="23" t="n">
        <f aca="false">'Base Despesas'!F22</f>
        <v>0</v>
      </c>
      <c r="G22" s="23" t="n">
        <f aca="false">'Base Despesas'!G22</f>
        <v>0</v>
      </c>
      <c r="H22" s="23" t="n">
        <f aca="false">'Base Despesas'!H22</f>
        <v>0</v>
      </c>
      <c r="I22" s="23" t="n">
        <f aca="false">'Base Despesas'!I22</f>
        <v>0</v>
      </c>
      <c r="J22" s="23" t="str">
        <f aca="false">IF(OR(B22="Salários e Benefícios",B22="Licenças / Ferramentas",B22="Custos Fixos"),"Fixa","Variável")</f>
        <v>Fixa</v>
      </c>
      <c r="K22" s="23" t="str">
        <f aca="false">IF(G22="PAGO","OK",IF(D22&gt;0,"⚠ Revisar","-"))</f>
        <v>⚠ Revisar</v>
      </c>
    </row>
    <row r="23" customFormat="false" ht="15" hidden="false" customHeight="false" outlineLevel="0" collapsed="false">
      <c r="A23" s="23" t="str">
        <f aca="false">'Base Despesas'!A23</f>
        <v>Janeiro</v>
      </c>
      <c r="B23" s="23" t="str">
        <f aca="false">'Base Despesas'!B23</f>
        <v>Salários e Benefícios</v>
      </c>
      <c r="C23" s="23" t="str">
        <f aca="false">'Base Despesas'!C23</f>
        <v>Programador - Luan</v>
      </c>
      <c r="D23" s="24" t="n">
        <f aca="false">'Base Despesas'!D23</f>
        <v>2280.9</v>
      </c>
      <c r="E23" s="23" t="n">
        <f aca="false">'Base Despesas'!E23</f>
        <v>25</v>
      </c>
      <c r="F23" s="23" t="str">
        <f aca="false">'Base Despesas'!F23</f>
        <v>Pix</v>
      </c>
      <c r="G23" s="23" t="str">
        <f aca="false">'Base Despesas'!G23</f>
        <v>PAGO</v>
      </c>
      <c r="H23" s="23" t="n">
        <f aca="false">'Base Despesas'!H23</f>
        <v>0</v>
      </c>
      <c r="I23" s="23" t="n">
        <f aca="false">'Base Despesas'!I23</f>
        <v>0</v>
      </c>
      <c r="J23" s="23" t="str">
        <f aca="false">IF(OR(B23="Salários e Benefícios",B23="Licenças / Ferramentas",B23="Custos Fixos"),"Fixa","Variável")</f>
        <v>Fixa</v>
      </c>
      <c r="K23" s="23" t="str">
        <f aca="false">IF(G23="PAGO","OK",IF(D23&gt;0,"⚠ Revisar","-"))</f>
        <v>OK</v>
      </c>
    </row>
    <row r="24" customFormat="false" ht="15" hidden="false" customHeight="false" outlineLevel="0" collapsed="false">
      <c r="A24" s="23" t="str">
        <f aca="false">'Base Despesas'!A24</f>
        <v>Fevereiro</v>
      </c>
      <c r="B24" s="23" t="str">
        <f aca="false">'Base Despesas'!B24</f>
        <v>Salários e Benefícios</v>
      </c>
      <c r="C24" s="23" t="str">
        <f aca="false">'Base Despesas'!C24</f>
        <v>Programador - Luan</v>
      </c>
      <c r="D24" s="24" t="n">
        <f aca="false">'Base Despesas'!D24</f>
        <v>2280.9</v>
      </c>
      <c r="E24" s="23" t="n">
        <f aca="false">'Base Despesas'!E24</f>
        <v>25</v>
      </c>
      <c r="F24" s="23" t="n">
        <f aca="false">'Base Despesas'!F24</f>
        <v>0</v>
      </c>
      <c r="G24" s="23" t="n">
        <f aca="false">'Base Despesas'!G24</f>
        <v>0</v>
      </c>
      <c r="H24" s="23" t="n">
        <f aca="false">'Base Despesas'!H24</f>
        <v>0</v>
      </c>
      <c r="I24" s="23" t="n">
        <f aca="false">'Base Despesas'!I24</f>
        <v>0</v>
      </c>
      <c r="J24" s="23" t="str">
        <f aca="false">IF(OR(B24="Salários e Benefícios",B24="Licenças / Ferramentas",B24="Custos Fixos"),"Fixa","Variável")</f>
        <v>Fixa</v>
      </c>
      <c r="K24" s="23" t="str">
        <f aca="false">IF(G24="PAGO","OK",IF(D24&gt;0,"⚠ Revisar","-"))</f>
        <v>⚠ Revisar</v>
      </c>
    </row>
    <row r="25" customFormat="false" ht="15" hidden="false" customHeight="false" outlineLevel="0" collapsed="false">
      <c r="A25" s="23" t="str">
        <f aca="false">'Base Despesas'!A25</f>
        <v>Março</v>
      </c>
      <c r="B25" s="23" t="str">
        <f aca="false">'Base Despesas'!B25</f>
        <v>Salários e Benefícios</v>
      </c>
      <c r="C25" s="23" t="str">
        <f aca="false">'Base Despesas'!C25</f>
        <v>Programador - Luan</v>
      </c>
      <c r="D25" s="24" t="n">
        <f aca="false">'Base Despesas'!D25</f>
        <v>2280.9</v>
      </c>
      <c r="E25" s="23" t="n">
        <f aca="false">'Base Despesas'!E25</f>
        <v>25</v>
      </c>
      <c r="F25" s="23" t="n">
        <f aca="false">'Base Despesas'!F25</f>
        <v>0</v>
      </c>
      <c r="G25" s="23" t="n">
        <f aca="false">'Base Despesas'!G25</f>
        <v>0</v>
      </c>
      <c r="H25" s="23" t="n">
        <f aca="false">'Base Despesas'!H25</f>
        <v>0</v>
      </c>
      <c r="I25" s="23" t="n">
        <f aca="false">'Base Despesas'!I25</f>
        <v>0</v>
      </c>
      <c r="J25" s="23" t="str">
        <f aca="false">IF(OR(B25="Salários e Benefícios",B25="Licenças / Ferramentas",B25="Custos Fixos"),"Fixa","Variável")</f>
        <v>Fixa</v>
      </c>
      <c r="K25" s="23" t="str">
        <f aca="false">IF(G25="PAGO","OK",IF(D25&gt;0,"⚠ Revisar","-"))</f>
        <v>⚠ Revisar</v>
      </c>
    </row>
    <row r="26" customFormat="false" ht="15" hidden="false" customHeight="false" outlineLevel="0" collapsed="false">
      <c r="A26" s="23" t="str">
        <f aca="false">'Base Despesas'!A26</f>
        <v>Abril</v>
      </c>
      <c r="B26" s="23" t="str">
        <f aca="false">'Base Despesas'!B26</f>
        <v>Salários e Benefícios</v>
      </c>
      <c r="C26" s="23" t="str">
        <f aca="false">'Base Despesas'!C26</f>
        <v>Programador - Luan</v>
      </c>
      <c r="D26" s="24" t="n">
        <f aca="false">'Base Despesas'!D26</f>
        <v>2280.9</v>
      </c>
      <c r="E26" s="23" t="n">
        <f aca="false">'Base Despesas'!E26</f>
        <v>25</v>
      </c>
      <c r="F26" s="23" t="n">
        <f aca="false">'Base Despesas'!F26</f>
        <v>0</v>
      </c>
      <c r="G26" s="23" t="n">
        <f aca="false">'Base Despesas'!G26</f>
        <v>0</v>
      </c>
      <c r="H26" s="23" t="n">
        <f aca="false">'Base Despesas'!H26</f>
        <v>0</v>
      </c>
      <c r="I26" s="23" t="n">
        <f aca="false">'Base Despesas'!I26</f>
        <v>0</v>
      </c>
      <c r="J26" s="23" t="str">
        <f aca="false">IF(OR(B26="Salários e Benefícios",B26="Licenças / Ferramentas",B26="Custos Fixos"),"Fixa","Variável")</f>
        <v>Fixa</v>
      </c>
      <c r="K26" s="23" t="str">
        <f aca="false">IF(G26="PAGO","OK",IF(D26&gt;0,"⚠ Revisar","-"))</f>
        <v>⚠ Revisar</v>
      </c>
    </row>
    <row r="27" customFormat="false" ht="15" hidden="false" customHeight="false" outlineLevel="0" collapsed="false">
      <c r="A27" s="23" t="str">
        <f aca="false">'Base Despesas'!A27</f>
        <v>Maio</v>
      </c>
      <c r="B27" s="23" t="str">
        <f aca="false">'Base Despesas'!B27</f>
        <v>Salários e Benefícios</v>
      </c>
      <c r="C27" s="23" t="str">
        <f aca="false">'Base Despesas'!C27</f>
        <v>Programador - Luan</v>
      </c>
      <c r="D27" s="24" t="n">
        <f aca="false">'Base Despesas'!D27</f>
        <v>2280.9</v>
      </c>
      <c r="E27" s="23" t="n">
        <f aca="false">'Base Despesas'!E27</f>
        <v>25</v>
      </c>
      <c r="F27" s="23" t="n">
        <f aca="false">'Base Despesas'!F27</f>
        <v>0</v>
      </c>
      <c r="G27" s="23" t="n">
        <f aca="false">'Base Despesas'!G27</f>
        <v>0</v>
      </c>
      <c r="H27" s="23" t="n">
        <f aca="false">'Base Despesas'!H27</f>
        <v>0</v>
      </c>
      <c r="I27" s="23" t="n">
        <f aca="false">'Base Despesas'!I27</f>
        <v>0</v>
      </c>
      <c r="J27" s="23" t="str">
        <f aca="false">IF(OR(B27="Salários e Benefícios",B27="Licenças / Ferramentas",B27="Custos Fixos"),"Fixa","Variável")</f>
        <v>Fixa</v>
      </c>
      <c r="K27" s="23" t="str">
        <f aca="false">IF(G27="PAGO","OK",IF(D27&gt;0,"⚠ Revisar","-"))</f>
        <v>⚠ Revisar</v>
      </c>
    </row>
    <row r="28" customFormat="false" ht="15" hidden="false" customHeight="false" outlineLevel="0" collapsed="false">
      <c r="A28" s="23" t="str">
        <f aca="false">'Base Despesas'!A28</f>
        <v>Janeiro</v>
      </c>
      <c r="B28" s="23" t="str">
        <f aca="false">'Base Despesas'!B28</f>
        <v>Salários e Benefícios</v>
      </c>
      <c r="C28" s="23" t="str">
        <f aca="false">'Base Despesas'!C28</f>
        <v>Vendedor - Patrik</v>
      </c>
      <c r="D28" s="24" t="n">
        <f aca="false">'Base Despesas'!D28</f>
        <v>1500</v>
      </c>
      <c r="E28" s="23" t="n">
        <f aca="false">'Base Despesas'!E28</f>
        <v>25</v>
      </c>
      <c r="F28" s="23" t="str">
        <f aca="false">'Base Despesas'!F28</f>
        <v>Pix</v>
      </c>
      <c r="G28" s="23" t="str">
        <f aca="false">'Base Despesas'!G28</f>
        <v>PAGO</v>
      </c>
      <c r="H28" s="23" t="n">
        <f aca="false">'Base Despesas'!H28</f>
        <v>0</v>
      </c>
      <c r="I28" s="23" t="n">
        <f aca="false">'Base Despesas'!I28</f>
        <v>0</v>
      </c>
      <c r="J28" s="23" t="str">
        <f aca="false">IF(OR(B28="Salários e Benefícios",B28="Licenças / Ferramentas",B28="Custos Fixos"),"Fixa","Variável")</f>
        <v>Fixa</v>
      </c>
      <c r="K28" s="23" t="str">
        <f aca="false">IF(G28="PAGO","OK",IF(D28&gt;0,"⚠ Revisar","-"))</f>
        <v>OK</v>
      </c>
    </row>
    <row r="29" customFormat="false" ht="15" hidden="false" customHeight="false" outlineLevel="0" collapsed="false">
      <c r="A29" s="23" t="str">
        <f aca="false">'Base Despesas'!A29</f>
        <v>Fevereiro</v>
      </c>
      <c r="B29" s="23" t="str">
        <f aca="false">'Base Despesas'!B29</f>
        <v>Salários e Benefícios</v>
      </c>
      <c r="C29" s="23" t="str">
        <f aca="false">'Base Despesas'!C29</f>
        <v>Vendedor - Patrik</v>
      </c>
      <c r="D29" s="24" t="n">
        <f aca="false">'Base Despesas'!D29</f>
        <v>1500</v>
      </c>
      <c r="E29" s="23" t="n">
        <f aca="false">'Base Despesas'!E29</f>
        <v>25</v>
      </c>
      <c r="F29" s="23" t="n">
        <f aca="false">'Base Despesas'!F29</f>
        <v>0</v>
      </c>
      <c r="G29" s="23" t="str">
        <f aca="false">'Base Despesas'!G29</f>
        <v>PAGO</v>
      </c>
      <c r="H29" s="23" t="n">
        <f aca="false">'Base Despesas'!H29</f>
        <v>0</v>
      </c>
      <c r="I29" s="23" t="n">
        <f aca="false">'Base Despesas'!I29</f>
        <v>0</v>
      </c>
      <c r="J29" s="23" t="str">
        <f aca="false">IF(OR(B29="Salários e Benefícios",B29="Licenças / Ferramentas",B29="Custos Fixos"),"Fixa","Variável")</f>
        <v>Fixa</v>
      </c>
      <c r="K29" s="23" t="str">
        <f aca="false">IF(G29="PAGO","OK",IF(D29&gt;0,"⚠ Revisar","-"))</f>
        <v>OK</v>
      </c>
    </row>
    <row r="30" customFormat="false" ht="15" hidden="false" customHeight="false" outlineLevel="0" collapsed="false">
      <c r="A30" s="23" t="str">
        <f aca="false">'Base Despesas'!A30</f>
        <v>Março</v>
      </c>
      <c r="B30" s="23" t="str">
        <f aca="false">'Base Despesas'!B30</f>
        <v>Salários e Benefícios</v>
      </c>
      <c r="C30" s="23" t="str">
        <f aca="false">'Base Despesas'!C30</f>
        <v>Vendedor - Patrik</v>
      </c>
      <c r="D30" s="24" t="n">
        <f aca="false">'Base Despesas'!D30</f>
        <v>2000</v>
      </c>
      <c r="E30" s="23" t="n">
        <f aca="false">'Base Despesas'!E30</f>
        <v>25</v>
      </c>
      <c r="F30" s="23" t="n">
        <f aca="false">'Base Despesas'!F30</f>
        <v>0</v>
      </c>
      <c r="G30" s="23" t="n">
        <f aca="false">'Base Despesas'!G30</f>
        <v>0</v>
      </c>
      <c r="H30" s="23" t="n">
        <f aca="false">'Base Despesas'!H30</f>
        <v>0</v>
      </c>
      <c r="I30" s="23" t="n">
        <f aca="false">'Base Despesas'!I30</f>
        <v>0</v>
      </c>
      <c r="J30" s="23" t="str">
        <f aca="false">IF(OR(B30="Salários e Benefícios",B30="Licenças / Ferramentas",B30="Custos Fixos"),"Fixa","Variável")</f>
        <v>Fixa</v>
      </c>
      <c r="K30" s="23" t="str">
        <f aca="false">IF(G30="PAGO","OK",IF(D30&gt;0,"⚠ Revisar","-"))</f>
        <v>⚠ Revisar</v>
      </c>
    </row>
    <row r="31" customFormat="false" ht="15" hidden="false" customHeight="false" outlineLevel="0" collapsed="false">
      <c r="A31" s="23" t="str">
        <f aca="false">'Base Despesas'!A31</f>
        <v>Abril</v>
      </c>
      <c r="B31" s="23" t="str">
        <f aca="false">'Base Despesas'!B31</f>
        <v>Salários e Benefícios</v>
      </c>
      <c r="C31" s="23" t="str">
        <f aca="false">'Base Despesas'!C31</f>
        <v>Vendedor - Patrik</v>
      </c>
      <c r="D31" s="24" t="n">
        <f aca="false">'Base Despesas'!D31</f>
        <v>1500</v>
      </c>
      <c r="E31" s="23" t="n">
        <f aca="false">'Base Despesas'!E31</f>
        <v>25</v>
      </c>
      <c r="F31" s="23" t="n">
        <f aca="false">'Base Despesas'!F31</f>
        <v>0</v>
      </c>
      <c r="G31" s="23" t="n">
        <f aca="false">'Base Despesas'!G31</f>
        <v>0</v>
      </c>
      <c r="H31" s="23" t="n">
        <f aca="false">'Base Despesas'!H31</f>
        <v>0</v>
      </c>
      <c r="I31" s="23" t="n">
        <f aca="false">'Base Despesas'!I31</f>
        <v>0</v>
      </c>
      <c r="J31" s="23" t="str">
        <f aca="false">IF(OR(B31="Salários e Benefícios",B31="Licenças / Ferramentas",B31="Custos Fixos"),"Fixa","Variável")</f>
        <v>Fixa</v>
      </c>
      <c r="K31" s="23" t="str">
        <f aca="false">IF(G31="PAGO","OK",IF(D31&gt;0,"⚠ Revisar","-"))</f>
        <v>⚠ Revisar</v>
      </c>
    </row>
    <row r="32" customFormat="false" ht="15" hidden="false" customHeight="false" outlineLevel="0" collapsed="false">
      <c r="A32" s="23" t="str">
        <f aca="false">'Base Despesas'!A32</f>
        <v>Maio</v>
      </c>
      <c r="B32" s="23" t="str">
        <f aca="false">'Base Despesas'!B32</f>
        <v>Salários e Benefícios</v>
      </c>
      <c r="C32" s="23" t="str">
        <f aca="false">'Base Despesas'!C32</f>
        <v>Vendedor - Patrik</v>
      </c>
      <c r="D32" s="24" t="n">
        <f aca="false">'Base Despesas'!D32</f>
        <v>1500</v>
      </c>
      <c r="E32" s="23" t="n">
        <f aca="false">'Base Despesas'!E32</f>
        <v>25</v>
      </c>
      <c r="F32" s="23" t="n">
        <f aca="false">'Base Despesas'!F32</f>
        <v>0</v>
      </c>
      <c r="G32" s="23" t="n">
        <f aca="false">'Base Despesas'!G32</f>
        <v>0</v>
      </c>
      <c r="H32" s="23" t="n">
        <f aca="false">'Base Despesas'!H32</f>
        <v>0</v>
      </c>
      <c r="I32" s="23" t="n">
        <f aca="false">'Base Despesas'!I32</f>
        <v>0</v>
      </c>
      <c r="J32" s="23" t="str">
        <f aca="false">IF(OR(B32="Salários e Benefícios",B32="Licenças / Ferramentas",B32="Custos Fixos"),"Fixa","Variável")</f>
        <v>Fixa</v>
      </c>
      <c r="K32" s="23" t="str">
        <f aca="false">IF(G32="PAGO","OK",IF(D32&gt;0,"⚠ Revisar","-"))</f>
        <v>⚠ Revisar</v>
      </c>
    </row>
    <row r="33" customFormat="false" ht="15" hidden="false" customHeight="false" outlineLevel="0" collapsed="false">
      <c r="A33" s="23" t="str">
        <f aca="false">'Base Despesas'!A33</f>
        <v>Janeiro</v>
      </c>
      <c r="B33" s="23" t="str">
        <f aca="false">'Base Despesas'!B33</f>
        <v>Salários e Benefícios</v>
      </c>
      <c r="C33" s="23" t="str">
        <f aca="false">'Base Despesas'!C33</f>
        <v>Gestor - Felipe</v>
      </c>
      <c r="D33" s="24" t="n">
        <f aca="false">'Base Despesas'!D33</f>
        <v>1834</v>
      </c>
      <c r="E33" s="23" t="n">
        <f aca="false">'Base Despesas'!E33</f>
        <v>19</v>
      </c>
      <c r="F33" s="23" t="str">
        <f aca="false">'Base Despesas'!F33</f>
        <v>Pix</v>
      </c>
      <c r="G33" s="23" t="str">
        <f aca="false">'Base Despesas'!G33</f>
        <v>PAGO</v>
      </c>
      <c r="H33" s="23" t="n">
        <f aca="false">'Base Despesas'!H33</f>
        <v>0</v>
      </c>
      <c r="I33" s="23" t="n">
        <f aca="false">'Base Despesas'!I33</f>
        <v>0</v>
      </c>
      <c r="J33" s="23" t="str">
        <f aca="false">IF(OR(B33="Salários e Benefícios",B33="Licenças / Ferramentas",B33="Custos Fixos"),"Fixa","Variável")</f>
        <v>Fixa</v>
      </c>
      <c r="K33" s="23" t="str">
        <f aca="false">IF(G33="PAGO","OK",IF(D33&gt;0,"⚠ Revisar","-"))</f>
        <v>OK</v>
      </c>
    </row>
    <row r="34" customFormat="false" ht="15" hidden="false" customHeight="false" outlineLevel="0" collapsed="false">
      <c r="A34" s="23" t="str">
        <f aca="false">'Base Despesas'!A34</f>
        <v>Fevereiro</v>
      </c>
      <c r="B34" s="23" t="str">
        <f aca="false">'Base Despesas'!B34</f>
        <v>Salários e Benefícios</v>
      </c>
      <c r="C34" s="23" t="str">
        <f aca="false">'Base Despesas'!C34</f>
        <v>Gestor - Felipe</v>
      </c>
      <c r="D34" s="24" t="n">
        <f aca="false">'Base Despesas'!D34</f>
        <v>1834</v>
      </c>
      <c r="E34" s="23" t="n">
        <f aca="false">'Base Despesas'!E34</f>
        <v>19</v>
      </c>
      <c r="F34" s="23" t="n">
        <f aca="false">'Base Despesas'!F34</f>
        <v>0</v>
      </c>
      <c r="G34" s="23" t="str">
        <f aca="false">'Base Despesas'!G34</f>
        <v>PAGO</v>
      </c>
      <c r="H34" s="23" t="n">
        <f aca="false">'Base Despesas'!H34</f>
        <v>0</v>
      </c>
      <c r="I34" s="23" t="n">
        <f aca="false">'Base Despesas'!I34</f>
        <v>0</v>
      </c>
      <c r="J34" s="23" t="str">
        <f aca="false">IF(OR(B34="Salários e Benefícios",B34="Licenças / Ferramentas",B34="Custos Fixos"),"Fixa","Variável")</f>
        <v>Fixa</v>
      </c>
      <c r="K34" s="23" t="str">
        <f aca="false">IF(G34="PAGO","OK",IF(D34&gt;0,"⚠ Revisar","-"))</f>
        <v>OK</v>
      </c>
    </row>
    <row r="35" customFormat="false" ht="15" hidden="false" customHeight="false" outlineLevel="0" collapsed="false">
      <c r="A35" s="23" t="str">
        <f aca="false">'Base Despesas'!A35</f>
        <v>Março</v>
      </c>
      <c r="B35" s="23" t="str">
        <f aca="false">'Base Despesas'!B35</f>
        <v>Salários e Benefícios</v>
      </c>
      <c r="C35" s="23" t="str">
        <f aca="false">'Base Despesas'!C35</f>
        <v>Gestor - Felipe</v>
      </c>
      <c r="D35" s="24" t="n">
        <f aca="false">'Base Despesas'!D35</f>
        <v>1834</v>
      </c>
      <c r="E35" s="23" t="n">
        <f aca="false">'Base Despesas'!E35</f>
        <v>19</v>
      </c>
      <c r="F35" s="23" t="n">
        <f aca="false">'Base Despesas'!F35</f>
        <v>0</v>
      </c>
      <c r="G35" s="23" t="n">
        <f aca="false">'Base Despesas'!G35</f>
        <v>0</v>
      </c>
      <c r="H35" s="23" t="n">
        <f aca="false">'Base Despesas'!H35</f>
        <v>0</v>
      </c>
      <c r="I35" s="23" t="n">
        <f aca="false">'Base Despesas'!I35</f>
        <v>0</v>
      </c>
      <c r="J35" s="23" t="str">
        <f aca="false">IF(OR(B35="Salários e Benefícios",B35="Licenças / Ferramentas",B35="Custos Fixos"),"Fixa","Variável")</f>
        <v>Fixa</v>
      </c>
      <c r="K35" s="23" t="str">
        <f aca="false">IF(G35="PAGO","OK",IF(D35&gt;0,"⚠ Revisar","-"))</f>
        <v>⚠ Revisar</v>
      </c>
    </row>
    <row r="36" customFormat="false" ht="15" hidden="false" customHeight="false" outlineLevel="0" collapsed="false">
      <c r="A36" s="23" t="str">
        <f aca="false">'Base Despesas'!A36</f>
        <v>Abril</v>
      </c>
      <c r="B36" s="23" t="str">
        <f aca="false">'Base Despesas'!B36</f>
        <v>Salários e Benefícios</v>
      </c>
      <c r="C36" s="23" t="str">
        <f aca="false">'Base Despesas'!C36</f>
        <v>Gestor - Felipe</v>
      </c>
      <c r="D36" s="24" t="n">
        <f aca="false">'Base Despesas'!D36</f>
        <v>1834</v>
      </c>
      <c r="E36" s="23" t="n">
        <f aca="false">'Base Despesas'!E36</f>
        <v>19</v>
      </c>
      <c r="F36" s="23" t="n">
        <f aca="false">'Base Despesas'!F36</f>
        <v>0</v>
      </c>
      <c r="G36" s="23" t="n">
        <f aca="false">'Base Despesas'!G36</f>
        <v>0</v>
      </c>
      <c r="H36" s="23" t="n">
        <f aca="false">'Base Despesas'!H36</f>
        <v>0</v>
      </c>
      <c r="I36" s="23" t="n">
        <f aca="false">'Base Despesas'!I36</f>
        <v>0</v>
      </c>
      <c r="J36" s="23" t="str">
        <f aca="false">IF(OR(B36="Salários e Benefícios",B36="Licenças / Ferramentas",B36="Custos Fixos"),"Fixa","Variável")</f>
        <v>Fixa</v>
      </c>
      <c r="K36" s="23" t="str">
        <f aca="false">IF(G36="PAGO","OK",IF(D36&gt;0,"⚠ Revisar","-"))</f>
        <v>⚠ Revisar</v>
      </c>
    </row>
    <row r="37" customFormat="false" ht="15" hidden="false" customHeight="false" outlineLevel="0" collapsed="false">
      <c r="A37" s="23" t="str">
        <f aca="false">'Base Despesas'!A37</f>
        <v>Maio</v>
      </c>
      <c r="B37" s="23" t="str">
        <f aca="false">'Base Despesas'!B37</f>
        <v>Salários e Benefícios</v>
      </c>
      <c r="C37" s="23" t="str">
        <f aca="false">'Base Despesas'!C37</f>
        <v>Gestor - Felipe</v>
      </c>
      <c r="D37" s="24" t="n">
        <f aca="false">'Base Despesas'!D37</f>
        <v>1834</v>
      </c>
      <c r="E37" s="23" t="n">
        <f aca="false">'Base Despesas'!E37</f>
        <v>19</v>
      </c>
      <c r="F37" s="23" t="n">
        <f aca="false">'Base Despesas'!F37</f>
        <v>0</v>
      </c>
      <c r="G37" s="23" t="n">
        <f aca="false">'Base Despesas'!G37</f>
        <v>0</v>
      </c>
      <c r="H37" s="23" t="n">
        <f aca="false">'Base Despesas'!H37</f>
        <v>0</v>
      </c>
      <c r="I37" s="23" t="n">
        <f aca="false">'Base Despesas'!I37</f>
        <v>0</v>
      </c>
      <c r="J37" s="23" t="str">
        <f aca="false">IF(OR(B37="Salários e Benefícios",B37="Licenças / Ferramentas",B37="Custos Fixos"),"Fixa","Variável")</f>
        <v>Fixa</v>
      </c>
      <c r="K37" s="23" t="str">
        <f aca="false">IF(G37="PAGO","OK",IF(D37&gt;0,"⚠ Revisar","-"))</f>
        <v>⚠ Revisar</v>
      </c>
    </row>
    <row r="38" customFormat="false" ht="15" hidden="false" customHeight="false" outlineLevel="0" collapsed="false">
      <c r="A38" s="23" t="str">
        <f aca="false">'Base Despesas'!A38</f>
        <v>Janeiro</v>
      </c>
      <c r="B38" s="23" t="str">
        <f aca="false">'Base Despesas'!B38</f>
        <v>Salários e Benefícios</v>
      </c>
      <c r="C38" s="23" t="str">
        <f aca="false">'Base Despesas'!C38</f>
        <v>Programador - Ferrari</v>
      </c>
      <c r="D38" s="24" t="n">
        <f aca="false">'Base Despesas'!D38</f>
        <v>1500</v>
      </c>
      <c r="E38" s="23" t="n">
        <f aca="false">'Base Despesas'!E38</f>
        <v>20</v>
      </c>
      <c r="F38" s="23" t="str">
        <f aca="false">'Base Despesas'!F38</f>
        <v>Pix</v>
      </c>
      <c r="G38" s="23" t="str">
        <f aca="false">'Base Despesas'!G38</f>
        <v>PAGO</v>
      </c>
      <c r="H38" s="23" t="n">
        <f aca="false">'Base Despesas'!H38</f>
        <v>0</v>
      </c>
      <c r="I38" s="23" t="n">
        <f aca="false">'Base Despesas'!I38</f>
        <v>0</v>
      </c>
      <c r="J38" s="23" t="str">
        <f aca="false">IF(OR(B38="Salários e Benefícios",B38="Licenças / Ferramentas",B38="Custos Fixos"),"Fixa","Variável")</f>
        <v>Fixa</v>
      </c>
      <c r="K38" s="23" t="str">
        <f aca="false">IF(G38="PAGO","OK",IF(D38&gt;0,"⚠ Revisar","-"))</f>
        <v>OK</v>
      </c>
    </row>
    <row r="39" customFormat="false" ht="15" hidden="false" customHeight="false" outlineLevel="0" collapsed="false">
      <c r="A39" s="23" t="str">
        <f aca="false">'Base Despesas'!A39</f>
        <v>Fevereiro</v>
      </c>
      <c r="B39" s="23" t="str">
        <f aca="false">'Base Despesas'!B39</f>
        <v>Salários e Benefícios</v>
      </c>
      <c r="C39" s="23" t="str">
        <f aca="false">'Base Despesas'!C39</f>
        <v>Programador - Ferrari</v>
      </c>
      <c r="D39" s="24" t="n">
        <f aca="false">'Base Despesas'!D39</f>
        <v>2000</v>
      </c>
      <c r="E39" s="23" t="n">
        <f aca="false">'Base Despesas'!E39</f>
        <v>20</v>
      </c>
      <c r="F39" s="23" t="n">
        <f aca="false">'Base Despesas'!F39</f>
        <v>0</v>
      </c>
      <c r="G39" s="23" t="str">
        <f aca="false">'Base Despesas'!G39</f>
        <v>PAGO</v>
      </c>
      <c r="H39" s="23" t="n">
        <f aca="false">'Base Despesas'!H39</f>
        <v>0</v>
      </c>
      <c r="I39" s="23" t="n">
        <f aca="false">'Base Despesas'!I39</f>
        <v>0</v>
      </c>
      <c r="J39" s="23" t="str">
        <f aca="false">IF(OR(B39="Salários e Benefícios",B39="Licenças / Ferramentas",B39="Custos Fixos"),"Fixa","Variável")</f>
        <v>Fixa</v>
      </c>
      <c r="K39" s="23" t="str">
        <f aca="false">IF(G39="PAGO","OK",IF(D39&gt;0,"⚠ Revisar","-"))</f>
        <v>OK</v>
      </c>
    </row>
    <row r="40" customFormat="false" ht="15" hidden="false" customHeight="false" outlineLevel="0" collapsed="false">
      <c r="A40" s="23" t="str">
        <f aca="false">'Base Despesas'!A40</f>
        <v>Março</v>
      </c>
      <c r="B40" s="23" t="str">
        <f aca="false">'Base Despesas'!B40</f>
        <v>Salários e Benefícios</v>
      </c>
      <c r="C40" s="23" t="str">
        <f aca="false">'Base Despesas'!C40</f>
        <v>Programador - Ferrari</v>
      </c>
      <c r="D40" s="24" t="n">
        <f aca="false">'Base Despesas'!D40</f>
        <v>1500</v>
      </c>
      <c r="E40" s="23" t="n">
        <f aca="false">'Base Despesas'!E40</f>
        <v>20</v>
      </c>
      <c r="F40" s="23" t="n">
        <f aca="false">'Base Despesas'!F40</f>
        <v>0</v>
      </c>
      <c r="G40" s="23" t="n">
        <f aca="false">'Base Despesas'!G40</f>
        <v>0</v>
      </c>
      <c r="H40" s="23" t="n">
        <f aca="false">'Base Despesas'!H40</f>
        <v>0</v>
      </c>
      <c r="I40" s="23" t="n">
        <f aca="false">'Base Despesas'!I40</f>
        <v>0</v>
      </c>
      <c r="J40" s="23" t="str">
        <f aca="false">IF(OR(B40="Salários e Benefícios",B40="Licenças / Ferramentas",B40="Custos Fixos"),"Fixa","Variável")</f>
        <v>Fixa</v>
      </c>
      <c r="K40" s="23" t="str">
        <f aca="false">IF(G40="PAGO","OK",IF(D40&gt;0,"⚠ Revisar","-"))</f>
        <v>⚠ Revisar</v>
      </c>
    </row>
    <row r="41" customFormat="false" ht="15" hidden="false" customHeight="false" outlineLevel="0" collapsed="false">
      <c r="A41" s="23" t="str">
        <f aca="false">'Base Despesas'!A41</f>
        <v>Abril</v>
      </c>
      <c r="B41" s="23" t="str">
        <f aca="false">'Base Despesas'!B41</f>
        <v>Salários e Benefícios</v>
      </c>
      <c r="C41" s="23" t="str">
        <f aca="false">'Base Despesas'!C41</f>
        <v>Programador - Ferrari</v>
      </c>
      <c r="D41" s="24" t="n">
        <f aca="false">'Base Despesas'!D41</f>
        <v>1500</v>
      </c>
      <c r="E41" s="23" t="n">
        <f aca="false">'Base Despesas'!E41</f>
        <v>25</v>
      </c>
      <c r="F41" s="23" t="n">
        <f aca="false">'Base Despesas'!F41</f>
        <v>0</v>
      </c>
      <c r="G41" s="23" t="n">
        <f aca="false">'Base Despesas'!G41</f>
        <v>0</v>
      </c>
      <c r="H41" s="23" t="n">
        <f aca="false">'Base Despesas'!H41</f>
        <v>0</v>
      </c>
      <c r="I41" s="23" t="n">
        <f aca="false">'Base Despesas'!I41</f>
        <v>0</v>
      </c>
      <c r="J41" s="23" t="str">
        <f aca="false">IF(OR(B41="Salários e Benefícios",B41="Licenças / Ferramentas",B41="Custos Fixos"),"Fixa","Variável")</f>
        <v>Fixa</v>
      </c>
      <c r="K41" s="23" t="str">
        <f aca="false">IF(G41="PAGO","OK",IF(D41&gt;0,"⚠ Revisar","-"))</f>
        <v>⚠ Revisar</v>
      </c>
    </row>
    <row r="42" customFormat="false" ht="15" hidden="false" customHeight="false" outlineLevel="0" collapsed="false">
      <c r="A42" s="23" t="str">
        <f aca="false">'Base Despesas'!A42</f>
        <v>Maio</v>
      </c>
      <c r="B42" s="23" t="str">
        <f aca="false">'Base Despesas'!B42</f>
        <v>Salários e Benefícios</v>
      </c>
      <c r="C42" s="23" t="str">
        <f aca="false">'Base Despesas'!C42</f>
        <v>Programador - Ferrari</v>
      </c>
      <c r="D42" s="24" t="n">
        <f aca="false">'Base Despesas'!D42</f>
        <v>1500</v>
      </c>
      <c r="E42" s="23" t="n">
        <f aca="false">'Base Despesas'!E42</f>
        <v>25</v>
      </c>
      <c r="F42" s="23" t="n">
        <f aca="false">'Base Despesas'!F42</f>
        <v>0</v>
      </c>
      <c r="G42" s="23" t="n">
        <f aca="false">'Base Despesas'!G42</f>
        <v>0</v>
      </c>
      <c r="H42" s="23" t="n">
        <f aca="false">'Base Despesas'!H42</f>
        <v>0</v>
      </c>
      <c r="I42" s="23" t="n">
        <f aca="false">'Base Despesas'!I42</f>
        <v>0</v>
      </c>
      <c r="J42" s="23" t="str">
        <f aca="false">IF(OR(B42="Salários e Benefícios",B42="Licenças / Ferramentas",B42="Custos Fixos"),"Fixa","Variável")</f>
        <v>Fixa</v>
      </c>
      <c r="K42" s="23" t="str">
        <f aca="false">IF(G42="PAGO","OK",IF(D42&gt;0,"⚠ Revisar","-"))</f>
        <v>⚠ Revisar</v>
      </c>
    </row>
    <row r="43" customFormat="false" ht="15" hidden="false" customHeight="false" outlineLevel="0" collapsed="false">
      <c r="A43" s="23" t="str">
        <f aca="false">'Base Despesas'!A43</f>
        <v>Janeiro</v>
      </c>
      <c r="B43" s="23" t="str">
        <f aca="false">'Base Despesas'!B43</f>
        <v>Salários e Benefícios</v>
      </c>
      <c r="C43" s="23" t="str">
        <f aca="false">'Base Despesas'!C43</f>
        <v>VT Thais</v>
      </c>
      <c r="D43" s="24" t="n">
        <f aca="false">'Base Despesas'!D43</f>
        <v>188</v>
      </c>
      <c r="E43" s="23" t="n">
        <f aca="false">'Base Despesas'!E43</f>
        <v>1</v>
      </c>
      <c r="F43" s="23" t="str">
        <f aca="false">'Base Despesas'!F43</f>
        <v>Pix</v>
      </c>
      <c r="G43" s="23" t="str">
        <f aca="false">'Base Despesas'!G43</f>
        <v>PAGO</v>
      </c>
      <c r="H43" s="23" t="n">
        <f aca="false">'Base Despesas'!H43</f>
        <v>0</v>
      </c>
      <c r="I43" s="23" t="n">
        <f aca="false">'Base Despesas'!I43</f>
        <v>0</v>
      </c>
      <c r="J43" s="23" t="str">
        <f aca="false">IF(OR(B43="Salários e Benefícios",B43="Licenças / Ferramentas",B43="Custos Fixos"),"Fixa","Variável")</f>
        <v>Fixa</v>
      </c>
      <c r="K43" s="23" t="str">
        <f aca="false">IF(G43="PAGO","OK",IF(D43&gt;0,"⚠ Revisar","-"))</f>
        <v>OK</v>
      </c>
    </row>
    <row r="44" customFormat="false" ht="15" hidden="false" customHeight="false" outlineLevel="0" collapsed="false">
      <c r="A44" s="23" t="str">
        <f aca="false">'Base Despesas'!A44</f>
        <v>Fevereiro</v>
      </c>
      <c r="B44" s="23" t="str">
        <f aca="false">'Base Despesas'!B44</f>
        <v>Salários e Benefícios</v>
      </c>
      <c r="C44" s="23" t="str">
        <f aca="false">'Base Despesas'!C44</f>
        <v>VT Thais</v>
      </c>
      <c r="D44" s="24" t="n">
        <f aca="false">'Base Despesas'!D44</f>
        <v>164.5</v>
      </c>
      <c r="E44" s="23" t="n">
        <f aca="false">'Base Despesas'!E44</f>
        <v>1</v>
      </c>
      <c r="F44" s="23" t="n">
        <f aca="false">'Base Despesas'!F44</f>
        <v>0</v>
      </c>
      <c r="G44" s="23" t="str">
        <f aca="false">'Base Despesas'!G44</f>
        <v>PAGO</v>
      </c>
      <c r="H44" s="23" t="n">
        <f aca="false">'Base Despesas'!H44</f>
        <v>0</v>
      </c>
      <c r="I44" s="23" t="n">
        <f aca="false">'Base Despesas'!I44</f>
        <v>0</v>
      </c>
      <c r="J44" s="23" t="str">
        <f aca="false">IF(OR(B44="Salários e Benefícios",B44="Licenças / Ferramentas",B44="Custos Fixos"),"Fixa","Variável")</f>
        <v>Fixa</v>
      </c>
      <c r="K44" s="23" t="str">
        <f aca="false">IF(G44="PAGO","OK",IF(D44&gt;0,"⚠ Revisar","-"))</f>
        <v>OK</v>
      </c>
    </row>
    <row r="45" customFormat="false" ht="15" hidden="false" customHeight="false" outlineLevel="0" collapsed="false">
      <c r="A45" s="23" t="str">
        <f aca="false">'Base Despesas'!A45</f>
        <v>Março</v>
      </c>
      <c r="B45" s="23" t="str">
        <f aca="false">'Base Despesas'!B45</f>
        <v>Salários e Benefícios</v>
      </c>
      <c r="C45" s="23" t="str">
        <f aca="false">'Base Despesas'!C45</f>
        <v>VT Thais</v>
      </c>
      <c r="D45" s="24" t="n">
        <f aca="false">'Base Despesas'!D45</f>
        <v>0</v>
      </c>
      <c r="E45" s="23" t="n">
        <f aca="false">'Base Despesas'!E45</f>
        <v>1</v>
      </c>
      <c r="F45" s="23" t="n">
        <f aca="false">'Base Despesas'!F45</f>
        <v>0</v>
      </c>
      <c r="G45" s="23" t="n">
        <f aca="false">'Base Despesas'!G45</f>
        <v>0</v>
      </c>
      <c r="H45" s="23" t="n">
        <f aca="false">'Base Despesas'!H45</f>
        <v>0</v>
      </c>
      <c r="I45" s="23" t="n">
        <f aca="false">'Base Despesas'!I45</f>
        <v>0</v>
      </c>
      <c r="J45" s="23" t="str">
        <f aca="false">IF(OR(B45="Salários e Benefícios",B45="Licenças / Ferramentas",B45="Custos Fixos"),"Fixa","Variável")</f>
        <v>Fixa</v>
      </c>
      <c r="K45" s="23" t="str">
        <f aca="false">IF(G45="PAGO","OK",IF(D45&gt;0,"⚠ Revisar","-"))</f>
        <v>-</v>
      </c>
    </row>
    <row r="46" customFormat="false" ht="15" hidden="false" customHeight="false" outlineLevel="0" collapsed="false">
      <c r="A46" s="23" t="str">
        <f aca="false">'Base Despesas'!A46</f>
        <v>Abril</v>
      </c>
      <c r="B46" s="23" t="str">
        <f aca="false">'Base Despesas'!B46</f>
        <v>Salários e Benefícios</v>
      </c>
      <c r="C46" s="23" t="str">
        <f aca="false">'Base Despesas'!C46</f>
        <v>VT Thais</v>
      </c>
      <c r="D46" s="24" t="n">
        <f aca="false">'Base Despesas'!D46</f>
        <v>0</v>
      </c>
      <c r="E46" s="23" t="n">
        <f aca="false">'Base Despesas'!E46</f>
        <v>1</v>
      </c>
      <c r="F46" s="23" t="n">
        <f aca="false">'Base Despesas'!F46</f>
        <v>0</v>
      </c>
      <c r="G46" s="23" t="n">
        <f aca="false">'Base Despesas'!G46</f>
        <v>0</v>
      </c>
      <c r="H46" s="23" t="n">
        <f aca="false">'Base Despesas'!H46</f>
        <v>0</v>
      </c>
      <c r="I46" s="23" t="n">
        <f aca="false">'Base Despesas'!I46</f>
        <v>0</v>
      </c>
      <c r="J46" s="23" t="str">
        <f aca="false">IF(OR(B46="Salários e Benefícios",B46="Licenças / Ferramentas",B46="Custos Fixos"),"Fixa","Variável")</f>
        <v>Fixa</v>
      </c>
      <c r="K46" s="23" t="str">
        <f aca="false">IF(G46="PAGO","OK",IF(D46&gt;0,"⚠ Revisar","-"))</f>
        <v>-</v>
      </c>
    </row>
    <row r="47" customFormat="false" ht="15" hidden="false" customHeight="false" outlineLevel="0" collapsed="false">
      <c r="A47" s="23" t="str">
        <f aca="false">'Base Despesas'!A47</f>
        <v>Maio</v>
      </c>
      <c r="B47" s="23" t="str">
        <f aca="false">'Base Despesas'!B47</f>
        <v>Salários e Benefícios</v>
      </c>
      <c r="C47" s="23" t="str">
        <f aca="false">'Base Despesas'!C47</f>
        <v>VT Thais</v>
      </c>
      <c r="D47" s="24" t="n">
        <f aca="false">'Base Despesas'!D47</f>
        <v>0</v>
      </c>
      <c r="E47" s="23" t="n">
        <f aca="false">'Base Despesas'!E47</f>
        <v>1</v>
      </c>
      <c r="F47" s="23" t="n">
        <f aca="false">'Base Despesas'!F47</f>
        <v>0</v>
      </c>
      <c r="G47" s="23" t="n">
        <f aca="false">'Base Despesas'!G47</f>
        <v>0</v>
      </c>
      <c r="H47" s="23" t="n">
        <f aca="false">'Base Despesas'!H47</f>
        <v>0</v>
      </c>
      <c r="I47" s="23" t="n">
        <f aca="false">'Base Despesas'!I47</f>
        <v>0</v>
      </c>
      <c r="J47" s="23" t="str">
        <f aca="false">IF(OR(B47="Salários e Benefícios",B47="Licenças / Ferramentas",B47="Custos Fixos"),"Fixa","Variável")</f>
        <v>Fixa</v>
      </c>
      <c r="K47" s="23" t="str">
        <f aca="false">IF(G47="PAGO","OK",IF(D47&gt;0,"⚠ Revisar","-"))</f>
        <v>-</v>
      </c>
    </row>
    <row r="48" customFormat="false" ht="15" hidden="false" customHeight="false" outlineLevel="0" collapsed="false">
      <c r="A48" s="23" t="str">
        <f aca="false">'Base Despesas'!A48</f>
        <v>Janeiro</v>
      </c>
      <c r="B48" s="23" t="str">
        <f aca="false">'Base Despesas'!B48</f>
        <v>Salários e Benefícios</v>
      </c>
      <c r="C48" s="23" t="str">
        <f aca="false">'Base Despesas'!C48</f>
        <v>VT Patrick OFICIAL</v>
      </c>
      <c r="D48" s="24" t="n">
        <f aca="false">'Base Despesas'!D48</f>
        <v>0</v>
      </c>
      <c r="E48" s="23" t="n">
        <f aca="false">'Base Despesas'!E48</f>
        <v>1</v>
      </c>
      <c r="F48" s="23" t="str">
        <f aca="false">'Base Despesas'!F48</f>
        <v>Pix</v>
      </c>
      <c r="G48" s="23" t="str">
        <f aca="false">'Base Despesas'!G48</f>
        <v>PAGO</v>
      </c>
      <c r="H48" s="23" t="n">
        <f aca="false">'Base Despesas'!H48</f>
        <v>0</v>
      </c>
      <c r="I48" s="23" t="n">
        <f aca="false">'Base Despesas'!I48</f>
        <v>0</v>
      </c>
      <c r="J48" s="23" t="str">
        <f aca="false">IF(OR(B48="Salários e Benefícios",B48="Licenças / Ferramentas",B48="Custos Fixos"),"Fixa","Variável")</f>
        <v>Fixa</v>
      </c>
      <c r="K48" s="23" t="str">
        <f aca="false">IF(G48="PAGO","OK",IF(D48&gt;0,"⚠ Revisar","-"))</f>
        <v>OK</v>
      </c>
    </row>
    <row r="49" customFormat="false" ht="15" hidden="false" customHeight="false" outlineLevel="0" collapsed="false">
      <c r="A49" s="23" t="str">
        <f aca="false">'Base Despesas'!A49</f>
        <v>Fevereiro</v>
      </c>
      <c r="B49" s="23" t="str">
        <f aca="false">'Base Despesas'!B49</f>
        <v>Salários e Benefícios</v>
      </c>
      <c r="C49" s="23" t="str">
        <f aca="false">'Base Despesas'!C49</f>
        <v>VT Patrick OFICIAL</v>
      </c>
      <c r="D49" s="24" t="n">
        <f aca="false">'Base Despesas'!D49</f>
        <v>37.1</v>
      </c>
      <c r="E49" s="23" t="n">
        <f aca="false">'Base Despesas'!E49</f>
        <v>1</v>
      </c>
      <c r="F49" s="23" t="n">
        <f aca="false">'Base Despesas'!F49</f>
        <v>0</v>
      </c>
      <c r="G49" s="23" t="str">
        <f aca="false">'Base Despesas'!G49</f>
        <v>PAGO</v>
      </c>
      <c r="H49" s="23" t="n">
        <f aca="false">'Base Despesas'!H49</f>
        <v>0</v>
      </c>
      <c r="I49" s="23" t="n">
        <f aca="false">'Base Despesas'!I49</f>
        <v>0</v>
      </c>
      <c r="J49" s="23" t="str">
        <f aca="false">IF(OR(B49="Salários e Benefícios",B49="Licenças / Ferramentas",B49="Custos Fixos"),"Fixa","Variável")</f>
        <v>Fixa</v>
      </c>
      <c r="K49" s="23" t="str">
        <f aca="false">IF(G49="PAGO","OK",IF(D49&gt;0,"⚠ Revisar","-"))</f>
        <v>OK</v>
      </c>
    </row>
    <row r="50" customFormat="false" ht="15" hidden="false" customHeight="false" outlineLevel="0" collapsed="false">
      <c r="A50" s="23" t="str">
        <f aca="false">'Base Despesas'!A50</f>
        <v>Março</v>
      </c>
      <c r="B50" s="23" t="str">
        <f aca="false">'Base Despesas'!B50</f>
        <v>Salários e Benefícios</v>
      </c>
      <c r="C50" s="23" t="str">
        <f aca="false">'Base Despesas'!C50</f>
        <v>VT Patrick OFICIAL</v>
      </c>
      <c r="D50" s="24" t="n">
        <f aca="false">'Base Despesas'!D50</f>
        <v>0</v>
      </c>
      <c r="E50" s="23" t="n">
        <f aca="false">'Base Despesas'!E50</f>
        <v>1</v>
      </c>
      <c r="F50" s="23" t="n">
        <f aca="false">'Base Despesas'!F50</f>
        <v>0</v>
      </c>
      <c r="G50" s="23" t="n">
        <f aca="false">'Base Despesas'!G50</f>
        <v>0</v>
      </c>
      <c r="H50" s="23" t="n">
        <f aca="false">'Base Despesas'!H50</f>
        <v>0</v>
      </c>
      <c r="I50" s="23" t="n">
        <f aca="false">'Base Despesas'!I50</f>
        <v>0</v>
      </c>
      <c r="J50" s="23" t="str">
        <f aca="false">IF(OR(B50="Salários e Benefícios",B50="Licenças / Ferramentas",B50="Custos Fixos"),"Fixa","Variável")</f>
        <v>Fixa</v>
      </c>
      <c r="K50" s="23" t="str">
        <f aca="false">IF(G50="PAGO","OK",IF(D50&gt;0,"⚠ Revisar","-"))</f>
        <v>-</v>
      </c>
    </row>
    <row r="51" customFormat="false" ht="15" hidden="false" customHeight="false" outlineLevel="0" collapsed="false">
      <c r="A51" s="23" t="str">
        <f aca="false">'Base Despesas'!A51</f>
        <v>Abril</v>
      </c>
      <c r="B51" s="23" t="str">
        <f aca="false">'Base Despesas'!B51</f>
        <v>Salários e Benefícios</v>
      </c>
      <c r="C51" s="23" t="str">
        <f aca="false">'Base Despesas'!C51</f>
        <v>VT Patrick OFICIAL</v>
      </c>
      <c r="D51" s="24" t="n">
        <f aca="false">'Base Despesas'!D51</f>
        <v>0</v>
      </c>
      <c r="E51" s="23" t="n">
        <f aca="false">'Base Despesas'!E51</f>
        <v>30</v>
      </c>
      <c r="F51" s="23" t="n">
        <f aca="false">'Base Despesas'!F51</f>
        <v>0</v>
      </c>
      <c r="G51" s="23" t="n">
        <f aca="false">'Base Despesas'!G51</f>
        <v>0</v>
      </c>
      <c r="H51" s="23" t="n">
        <f aca="false">'Base Despesas'!H51</f>
        <v>0</v>
      </c>
      <c r="I51" s="23" t="n">
        <f aca="false">'Base Despesas'!I51</f>
        <v>0</v>
      </c>
      <c r="J51" s="23" t="str">
        <f aca="false">IF(OR(B51="Salários e Benefícios",B51="Licenças / Ferramentas",B51="Custos Fixos"),"Fixa","Variável")</f>
        <v>Fixa</v>
      </c>
      <c r="K51" s="23" t="str">
        <f aca="false">IF(G51="PAGO","OK",IF(D51&gt;0,"⚠ Revisar","-"))</f>
        <v>-</v>
      </c>
    </row>
    <row r="52" customFormat="false" ht="15" hidden="false" customHeight="false" outlineLevel="0" collapsed="false">
      <c r="A52" s="23" t="str">
        <f aca="false">'Base Despesas'!A52</f>
        <v>Maio</v>
      </c>
      <c r="B52" s="23" t="str">
        <f aca="false">'Base Despesas'!B52</f>
        <v>Salários e Benefícios</v>
      </c>
      <c r="C52" s="23" t="str">
        <f aca="false">'Base Despesas'!C52</f>
        <v>VT Patrick OFICIAL</v>
      </c>
      <c r="D52" s="24" t="n">
        <f aca="false">'Base Despesas'!D52</f>
        <v>0</v>
      </c>
      <c r="E52" s="23" t="n">
        <f aca="false">'Base Despesas'!E52</f>
        <v>30</v>
      </c>
      <c r="F52" s="23" t="n">
        <f aca="false">'Base Despesas'!F52</f>
        <v>0</v>
      </c>
      <c r="G52" s="23" t="n">
        <f aca="false">'Base Despesas'!G52</f>
        <v>0</v>
      </c>
      <c r="H52" s="23" t="n">
        <f aca="false">'Base Despesas'!H52</f>
        <v>0</v>
      </c>
      <c r="I52" s="23" t="n">
        <f aca="false">'Base Despesas'!I52</f>
        <v>0</v>
      </c>
      <c r="J52" s="23" t="str">
        <f aca="false">IF(OR(B52="Salários e Benefícios",B52="Licenças / Ferramentas",B52="Custos Fixos"),"Fixa","Variável")</f>
        <v>Fixa</v>
      </c>
      <c r="K52" s="23" t="str">
        <f aca="false">IF(G52="PAGO","OK",IF(D52&gt;0,"⚠ Revisar","-"))</f>
        <v>-</v>
      </c>
    </row>
    <row r="53" customFormat="false" ht="15" hidden="false" customHeight="false" outlineLevel="0" collapsed="false">
      <c r="A53" s="23" t="str">
        <f aca="false">'Base Despesas'!A53</f>
        <v>Janeiro</v>
      </c>
      <c r="B53" s="23" t="str">
        <f aca="false">'Base Despesas'!B53</f>
        <v>Licenças / Ferramentas</v>
      </c>
      <c r="C53" s="23" t="str">
        <f aca="false">'Base Despesas'!C53</f>
        <v>Google Cloud</v>
      </c>
      <c r="D53" s="24" t="n">
        <f aca="false">'Base Despesas'!D53</f>
        <v>148.59</v>
      </c>
      <c r="E53" s="23" t="n">
        <f aca="false">'Base Despesas'!E53</f>
        <v>0</v>
      </c>
      <c r="F53" s="23" t="n">
        <f aca="false">'Base Despesas'!F53</f>
        <v>0</v>
      </c>
      <c r="G53" s="23" t="n">
        <f aca="false">'Base Despesas'!G53</f>
        <v>0</v>
      </c>
      <c r="H53" s="23" t="n">
        <f aca="false">'Base Despesas'!H53</f>
        <v>0</v>
      </c>
      <c r="I53" s="23" t="n">
        <f aca="false">'Base Despesas'!I53</f>
        <v>0</v>
      </c>
      <c r="J53" s="23" t="str">
        <f aca="false">IF(OR(B53="Salários e Benefícios",B53="Licenças / Ferramentas",B53="Custos Fixos"),"Fixa","Variável")</f>
        <v>Fixa</v>
      </c>
      <c r="K53" s="23" t="str">
        <f aca="false">IF(G53="PAGO","OK",IF(D53&gt;0,"⚠ Revisar","-"))</f>
        <v>⚠ Revisar</v>
      </c>
    </row>
    <row r="54" customFormat="false" ht="15" hidden="false" customHeight="false" outlineLevel="0" collapsed="false">
      <c r="A54" s="23" t="str">
        <f aca="false">'Base Despesas'!A54</f>
        <v>Fevereiro</v>
      </c>
      <c r="B54" s="23" t="str">
        <f aca="false">'Base Despesas'!B54</f>
        <v>Licenças / Ferramentas</v>
      </c>
      <c r="C54" s="23" t="str">
        <f aca="false">'Base Despesas'!C54</f>
        <v>Google Cloud</v>
      </c>
      <c r="D54" s="24" t="n">
        <f aca="false">'Base Despesas'!D54</f>
        <v>148.59</v>
      </c>
      <c r="E54" s="23" t="n">
        <f aca="false">'Base Despesas'!E54</f>
        <v>0</v>
      </c>
      <c r="F54" s="23" t="n">
        <f aca="false">'Base Despesas'!F54</f>
        <v>0</v>
      </c>
      <c r="G54" s="23" t="n">
        <f aca="false">'Base Despesas'!G54</f>
        <v>0</v>
      </c>
      <c r="H54" s="23" t="n">
        <f aca="false">'Base Despesas'!H54</f>
        <v>0</v>
      </c>
      <c r="I54" s="23" t="n">
        <f aca="false">'Base Despesas'!I54</f>
        <v>0</v>
      </c>
      <c r="J54" s="23" t="str">
        <f aca="false">IF(OR(B54="Salários e Benefícios",B54="Licenças / Ferramentas",B54="Custos Fixos"),"Fixa","Variável")</f>
        <v>Fixa</v>
      </c>
      <c r="K54" s="23" t="str">
        <f aca="false">IF(G54="PAGO","OK",IF(D54&gt;0,"⚠ Revisar","-"))</f>
        <v>⚠ Revisar</v>
      </c>
    </row>
    <row r="55" customFormat="false" ht="15" hidden="false" customHeight="false" outlineLevel="0" collapsed="false">
      <c r="A55" s="23" t="str">
        <f aca="false">'Base Despesas'!A55</f>
        <v>Março</v>
      </c>
      <c r="B55" s="23" t="str">
        <f aca="false">'Base Despesas'!B55</f>
        <v>Licenças / Ferramentas</v>
      </c>
      <c r="C55" s="23" t="str">
        <f aca="false">'Base Despesas'!C55</f>
        <v>Google Cloud</v>
      </c>
      <c r="D55" s="24" t="n">
        <f aca="false">'Base Despesas'!D55</f>
        <v>148.59</v>
      </c>
      <c r="E55" s="23" t="n">
        <f aca="false">'Base Despesas'!E55</f>
        <v>0</v>
      </c>
      <c r="F55" s="23" t="n">
        <f aca="false">'Base Despesas'!F55</f>
        <v>0</v>
      </c>
      <c r="G55" s="23" t="n">
        <f aca="false">'Base Despesas'!G55</f>
        <v>0</v>
      </c>
      <c r="H55" s="23" t="n">
        <f aca="false">'Base Despesas'!H55</f>
        <v>0</v>
      </c>
      <c r="I55" s="23" t="n">
        <f aca="false">'Base Despesas'!I55</f>
        <v>0</v>
      </c>
      <c r="J55" s="23" t="str">
        <f aca="false">IF(OR(B55="Salários e Benefícios",B55="Licenças / Ferramentas",B55="Custos Fixos"),"Fixa","Variável")</f>
        <v>Fixa</v>
      </c>
      <c r="K55" s="23" t="str">
        <f aca="false">IF(G55="PAGO","OK",IF(D55&gt;0,"⚠ Revisar","-"))</f>
        <v>⚠ Revisar</v>
      </c>
    </row>
    <row r="56" customFormat="false" ht="15" hidden="false" customHeight="false" outlineLevel="0" collapsed="false">
      <c r="A56" s="23" t="str">
        <f aca="false">'Base Despesas'!A56</f>
        <v>Abril</v>
      </c>
      <c r="B56" s="23" t="str">
        <f aca="false">'Base Despesas'!B56</f>
        <v>Licenças / Ferramentas</v>
      </c>
      <c r="C56" s="23" t="str">
        <f aca="false">'Base Despesas'!C56</f>
        <v>Google Cloud</v>
      </c>
      <c r="D56" s="24" t="n">
        <f aca="false">'Base Despesas'!D56</f>
        <v>148.59</v>
      </c>
      <c r="E56" s="23" t="n">
        <f aca="false">'Base Despesas'!E56</f>
        <v>0</v>
      </c>
      <c r="F56" s="23" t="n">
        <f aca="false">'Base Despesas'!F56</f>
        <v>0</v>
      </c>
      <c r="G56" s="23" t="n">
        <f aca="false">'Base Despesas'!G56</f>
        <v>0</v>
      </c>
      <c r="H56" s="23" t="n">
        <f aca="false">'Base Despesas'!H56</f>
        <v>0</v>
      </c>
      <c r="I56" s="23" t="n">
        <f aca="false">'Base Despesas'!I56</f>
        <v>0</v>
      </c>
      <c r="J56" s="23" t="str">
        <f aca="false">IF(OR(B56="Salários e Benefícios",B56="Licenças / Ferramentas",B56="Custos Fixos"),"Fixa","Variável")</f>
        <v>Fixa</v>
      </c>
      <c r="K56" s="23" t="str">
        <f aca="false">IF(G56="PAGO","OK",IF(D56&gt;0,"⚠ Revisar","-"))</f>
        <v>⚠ Revisar</v>
      </c>
    </row>
    <row r="57" customFormat="false" ht="15" hidden="false" customHeight="false" outlineLevel="0" collapsed="false">
      <c r="A57" s="23" t="str">
        <f aca="false">'Base Despesas'!A57</f>
        <v>Maio</v>
      </c>
      <c r="B57" s="23" t="str">
        <f aca="false">'Base Despesas'!B57</f>
        <v>Licenças / Ferramentas</v>
      </c>
      <c r="C57" s="23" t="str">
        <f aca="false">'Base Despesas'!C57</f>
        <v>Google Cloud</v>
      </c>
      <c r="D57" s="24" t="n">
        <f aca="false">'Base Despesas'!D57</f>
        <v>148.59</v>
      </c>
      <c r="E57" s="23" t="n">
        <f aca="false">'Base Despesas'!E57</f>
        <v>0</v>
      </c>
      <c r="F57" s="23" t="n">
        <f aca="false">'Base Despesas'!F57</f>
        <v>0</v>
      </c>
      <c r="G57" s="23" t="n">
        <f aca="false">'Base Despesas'!G57</f>
        <v>0</v>
      </c>
      <c r="H57" s="23" t="n">
        <f aca="false">'Base Despesas'!H57</f>
        <v>0</v>
      </c>
      <c r="I57" s="23" t="n">
        <f aca="false">'Base Despesas'!I57</f>
        <v>0</v>
      </c>
      <c r="J57" s="23" t="str">
        <f aca="false">IF(OR(B57="Salários e Benefícios",B57="Licenças / Ferramentas",B57="Custos Fixos"),"Fixa","Variável")</f>
        <v>Fixa</v>
      </c>
      <c r="K57" s="23" t="str">
        <f aca="false">IF(G57="PAGO","OK",IF(D57&gt;0,"⚠ Revisar","-"))</f>
        <v>⚠ Revisar</v>
      </c>
    </row>
    <row r="58" customFormat="false" ht="15" hidden="false" customHeight="false" outlineLevel="0" collapsed="false">
      <c r="A58" s="23" t="str">
        <f aca="false">'Base Despesas'!A58</f>
        <v>Janeiro</v>
      </c>
      <c r="B58" s="23" t="str">
        <f aca="false">'Base Despesas'!B58</f>
        <v>Licenças / Ferramentas</v>
      </c>
      <c r="C58" s="23" t="str">
        <f aca="false">'Base Despesas'!C58</f>
        <v>Gsuite Bamasses</v>
      </c>
      <c r="D58" s="24" t="n">
        <f aca="false">'Base Despesas'!D58</f>
        <v>100</v>
      </c>
      <c r="E58" s="23" t="n">
        <f aca="false">'Base Despesas'!E58</f>
        <v>0</v>
      </c>
      <c r="F58" s="23" t="n">
        <f aca="false">'Base Despesas'!F58</f>
        <v>0</v>
      </c>
      <c r="G58" s="23" t="n">
        <f aca="false">'Base Despesas'!G58</f>
        <v>0</v>
      </c>
      <c r="H58" s="23" t="n">
        <f aca="false">'Base Despesas'!H58</f>
        <v>0</v>
      </c>
      <c r="I58" s="23" t="n">
        <f aca="false">'Base Despesas'!I58</f>
        <v>0</v>
      </c>
      <c r="J58" s="23" t="str">
        <f aca="false">IF(OR(B58="Salários e Benefícios",B58="Licenças / Ferramentas",B58="Custos Fixos"),"Fixa","Variável")</f>
        <v>Fixa</v>
      </c>
      <c r="K58" s="23" t="str">
        <f aca="false">IF(G58="PAGO","OK",IF(D58&gt;0,"⚠ Revisar","-"))</f>
        <v>⚠ Revisar</v>
      </c>
    </row>
    <row r="59" customFormat="false" ht="15" hidden="false" customHeight="false" outlineLevel="0" collapsed="false">
      <c r="A59" s="23" t="str">
        <f aca="false">'Base Despesas'!A59</f>
        <v>Fevereiro</v>
      </c>
      <c r="B59" s="23" t="str">
        <f aca="false">'Base Despesas'!B59</f>
        <v>Licenças / Ferramentas</v>
      </c>
      <c r="C59" s="23" t="str">
        <f aca="false">'Base Despesas'!C59</f>
        <v>Gsuite Bamasses</v>
      </c>
      <c r="D59" s="24" t="n">
        <f aca="false">'Base Despesas'!D59</f>
        <v>100</v>
      </c>
      <c r="E59" s="23" t="n">
        <f aca="false">'Base Despesas'!E59</f>
        <v>0</v>
      </c>
      <c r="F59" s="23" t="n">
        <f aca="false">'Base Despesas'!F59</f>
        <v>0</v>
      </c>
      <c r="G59" s="23" t="n">
        <f aca="false">'Base Despesas'!G59</f>
        <v>0</v>
      </c>
      <c r="H59" s="23" t="n">
        <f aca="false">'Base Despesas'!H59</f>
        <v>0</v>
      </c>
      <c r="I59" s="23" t="n">
        <f aca="false">'Base Despesas'!I59</f>
        <v>0</v>
      </c>
      <c r="J59" s="23" t="str">
        <f aca="false">IF(OR(B59="Salários e Benefícios",B59="Licenças / Ferramentas",B59="Custos Fixos"),"Fixa","Variável")</f>
        <v>Fixa</v>
      </c>
      <c r="K59" s="23" t="str">
        <f aca="false">IF(G59="PAGO","OK",IF(D59&gt;0,"⚠ Revisar","-"))</f>
        <v>⚠ Revisar</v>
      </c>
    </row>
    <row r="60" customFormat="false" ht="15" hidden="false" customHeight="false" outlineLevel="0" collapsed="false">
      <c r="A60" s="23" t="str">
        <f aca="false">'Base Despesas'!A60</f>
        <v>Março</v>
      </c>
      <c r="B60" s="23" t="str">
        <f aca="false">'Base Despesas'!B60</f>
        <v>Licenças / Ferramentas</v>
      </c>
      <c r="C60" s="23" t="str">
        <f aca="false">'Base Despesas'!C60</f>
        <v>Gsuite Bamasses</v>
      </c>
      <c r="D60" s="24" t="n">
        <f aca="false">'Base Despesas'!D60</f>
        <v>100</v>
      </c>
      <c r="E60" s="23" t="n">
        <f aca="false">'Base Despesas'!E60</f>
        <v>0</v>
      </c>
      <c r="F60" s="23" t="n">
        <f aca="false">'Base Despesas'!F60</f>
        <v>0</v>
      </c>
      <c r="G60" s="23" t="n">
        <f aca="false">'Base Despesas'!G60</f>
        <v>0</v>
      </c>
      <c r="H60" s="23" t="n">
        <f aca="false">'Base Despesas'!H60</f>
        <v>0</v>
      </c>
      <c r="I60" s="23" t="n">
        <f aca="false">'Base Despesas'!I60</f>
        <v>0</v>
      </c>
      <c r="J60" s="23" t="str">
        <f aca="false">IF(OR(B60="Salários e Benefícios",B60="Licenças / Ferramentas",B60="Custos Fixos"),"Fixa","Variável")</f>
        <v>Fixa</v>
      </c>
      <c r="K60" s="23" t="str">
        <f aca="false">IF(G60="PAGO","OK",IF(D60&gt;0,"⚠ Revisar","-"))</f>
        <v>⚠ Revisar</v>
      </c>
    </row>
    <row r="61" customFormat="false" ht="15" hidden="false" customHeight="false" outlineLevel="0" collapsed="false">
      <c r="A61" s="23" t="str">
        <f aca="false">'Base Despesas'!A61</f>
        <v>Abril</v>
      </c>
      <c r="B61" s="23" t="str">
        <f aca="false">'Base Despesas'!B61</f>
        <v>Licenças / Ferramentas</v>
      </c>
      <c r="C61" s="23" t="str">
        <f aca="false">'Base Despesas'!C61</f>
        <v>Gsuite Bamasses</v>
      </c>
      <c r="D61" s="24" t="n">
        <f aca="false">'Base Despesas'!D61</f>
        <v>100</v>
      </c>
      <c r="E61" s="23" t="n">
        <f aca="false">'Base Despesas'!E61</f>
        <v>0</v>
      </c>
      <c r="F61" s="23" t="n">
        <f aca="false">'Base Despesas'!F61</f>
        <v>0</v>
      </c>
      <c r="G61" s="23" t="n">
        <f aca="false">'Base Despesas'!G61</f>
        <v>0</v>
      </c>
      <c r="H61" s="23" t="n">
        <f aca="false">'Base Despesas'!H61</f>
        <v>0</v>
      </c>
      <c r="I61" s="23" t="n">
        <f aca="false">'Base Despesas'!I61</f>
        <v>0</v>
      </c>
      <c r="J61" s="23" t="str">
        <f aca="false">IF(OR(B61="Salários e Benefícios",B61="Licenças / Ferramentas",B61="Custos Fixos"),"Fixa","Variável")</f>
        <v>Fixa</v>
      </c>
      <c r="K61" s="23" t="str">
        <f aca="false">IF(G61="PAGO","OK",IF(D61&gt;0,"⚠ Revisar","-"))</f>
        <v>⚠ Revisar</v>
      </c>
    </row>
    <row r="62" customFormat="false" ht="15" hidden="false" customHeight="false" outlineLevel="0" collapsed="false">
      <c r="A62" s="23" t="str">
        <f aca="false">'Base Despesas'!A62</f>
        <v>Maio</v>
      </c>
      <c r="B62" s="23" t="str">
        <f aca="false">'Base Despesas'!B62</f>
        <v>Licenças / Ferramentas</v>
      </c>
      <c r="C62" s="23" t="str">
        <f aca="false">'Base Despesas'!C62</f>
        <v>Gsuite Bamasses</v>
      </c>
      <c r="D62" s="24" t="n">
        <f aca="false">'Base Despesas'!D62</f>
        <v>100</v>
      </c>
      <c r="E62" s="23" t="n">
        <f aca="false">'Base Despesas'!E62</f>
        <v>0</v>
      </c>
      <c r="F62" s="23" t="n">
        <f aca="false">'Base Despesas'!F62</f>
        <v>0</v>
      </c>
      <c r="G62" s="23" t="n">
        <f aca="false">'Base Despesas'!G62</f>
        <v>0</v>
      </c>
      <c r="H62" s="23" t="n">
        <f aca="false">'Base Despesas'!H62</f>
        <v>0</v>
      </c>
      <c r="I62" s="23" t="n">
        <f aca="false">'Base Despesas'!I62</f>
        <v>0</v>
      </c>
      <c r="J62" s="23" t="str">
        <f aca="false">IF(OR(B62="Salários e Benefícios",B62="Licenças / Ferramentas",B62="Custos Fixos"),"Fixa","Variável")</f>
        <v>Fixa</v>
      </c>
      <c r="K62" s="23" t="str">
        <f aca="false">IF(G62="PAGO","OK",IF(D62&gt;0,"⚠ Revisar","-"))</f>
        <v>⚠ Revisar</v>
      </c>
    </row>
    <row r="63" customFormat="false" ht="15" hidden="false" customHeight="false" outlineLevel="0" collapsed="false">
      <c r="A63" s="23" t="str">
        <f aca="false">'Base Despesas'!A63</f>
        <v>Janeiro</v>
      </c>
      <c r="B63" s="23" t="str">
        <f aca="false">'Base Despesas'!B63</f>
        <v>Licenças / Ferramentas</v>
      </c>
      <c r="C63" s="23" t="str">
        <f aca="false">'Base Despesas'!C63</f>
        <v>Google One</v>
      </c>
      <c r="D63" s="24" t="n">
        <f aca="false">'Base Despesas'!D63</f>
        <v>14.99</v>
      </c>
      <c r="E63" s="23" t="n">
        <f aca="false">'Base Despesas'!E63</f>
        <v>0</v>
      </c>
      <c r="F63" s="23" t="n">
        <f aca="false">'Base Despesas'!F63</f>
        <v>0</v>
      </c>
      <c r="G63" s="23" t="n">
        <f aca="false">'Base Despesas'!G63</f>
        <v>0</v>
      </c>
      <c r="H63" s="23" t="n">
        <f aca="false">'Base Despesas'!H63</f>
        <v>0</v>
      </c>
      <c r="I63" s="23" t="n">
        <f aca="false">'Base Despesas'!I63</f>
        <v>0</v>
      </c>
      <c r="J63" s="23" t="str">
        <f aca="false">IF(OR(B63="Salários e Benefícios",B63="Licenças / Ferramentas",B63="Custos Fixos"),"Fixa","Variável")</f>
        <v>Fixa</v>
      </c>
      <c r="K63" s="23" t="str">
        <f aca="false">IF(G63="PAGO","OK",IF(D63&gt;0,"⚠ Revisar","-"))</f>
        <v>⚠ Revisar</v>
      </c>
    </row>
    <row r="64" customFormat="false" ht="15" hidden="false" customHeight="false" outlineLevel="0" collapsed="false">
      <c r="A64" s="23" t="str">
        <f aca="false">'Base Despesas'!A64</f>
        <v>Fevereiro</v>
      </c>
      <c r="B64" s="23" t="str">
        <f aca="false">'Base Despesas'!B64</f>
        <v>Licenças / Ferramentas</v>
      </c>
      <c r="C64" s="23" t="str">
        <f aca="false">'Base Despesas'!C64</f>
        <v>Google One</v>
      </c>
      <c r="D64" s="24" t="n">
        <f aca="false">'Base Despesas'!D64</f>
        <v>14.99</v>
      </c>
      <c r="E64" s="23" t="n">
        <f aca="false">'Base Despesas'!E64</f>
        <v>0</v>
      </c>
      <c r="F64" s="23" t="n">
        <f aca="false">'Base Despesas'!F64</f>
        <v>0</v>
      </c>
      <c r="G64" s="23" t="n">
        <f aca="false">'Base Despesas'!G64</f>
        <v>0</v>
      </c>
      <c r="H64" s="23" t="n">
        <f aca="false">'Base Despesas'!H64</f>
        <v>0</v>
      </c>
      <c r="I64" s="23" t="n">
        <f aca="false">'Base Despesas'!I64</f>
        <v>0</v>
      </c>
      <c r="J64" s="23" t="str">
        <f aca="false">IF(OR(B64="Salários e Benefícios",B64="Licenças / Ferramentas",B64="Custos Fixos"),"Fixa","Variável")</f>
        <v>Fixa</v>
      </c>
      <c r="K64" s="23" t="str">
        <f aca="false">IF(G64="PAGO","OK",IF(D64&gt;0,"⚠ Revisar","-"))</f>
        <v>⚠ Revisar</v>
      </c>
    </row>
    <row r="65" customFormat="false" ht="15" hidden="false" customHeight="false" outlineLevel="0" collapsed="false">
      <c r="A65" s="23" t="str">
        <f aca="false">'Base Despesas'!A65</f>
        <v>Março</v>
      </c>
      <c r="B65" s="23" t="str">
        <f aca="false">'Base Despesas'!B65</f>
        <v>Licenças / Ferramentas</v>
      </c>
      <c r="C65" s="23" t="str">
        <f aca="false">'Base Despesas'!C65</f>
        <v>Google One</v>
      </c>
      <c r="D65" s="24" t="n">
        <f aca="false">'Base Despesas'!D65</f>
        <v>14.99</v>
      </c>
      <c r="E65" s="23" t="n">
        <f aca="false">'Base Despesas'!E65</f>
        <v>0</v>
      </c>
      <c r="F65" s="23" t="n">
        <f aca="false">'Base Despesas'!F65</f>
        <v>0</v>
      </c>
      <c r="G65" s="23" t="n">
        <f aca="false">'Base Despesas'!G65</f>
        <v>0</v>
      </c>
      <c r="H65" s="23" t="n">
        <f aca="false">'Base Despesas'!H65</f>
        <v>0</v>
      </c>
      <c r="I65" s="23" t="n">
        <f aca="false">'Base Despesas'!I65</f>
        <v>0</v>
      </c>
      <c r="J65" s="23" t="str">
        <f aca="false">IF(OR(B65="Salários e Benefícios",B65="Licenças / Ferramentas",B65="Custos Fixos"),"Fixa","Variável")</f>
        <v>Fixa</v>
      </c>
      <c r="K65" s="23" t="str">
        <f aca="false">IF(G65="PAGO","OK",IF(D65&gt;0,"⚠ Revisar","-"))</f>
        <v>⚠ Revisar</v>
      </c>
    </row>
    <row r="66" customFormat="false" ht="15" hidden="false" customHeight="false" outlineLevel="0" collapsed="false">
      <c r="A66" s="23" t="str">
        <f aca="false">'Base Despesas'!A66</f>
        <v>Abril</v>
      </c>
      <c r="B66" s="23" t="str">
        <f aca="false">'Base Despesas'!B66</f>
        <v>Licenças / Ferramentas</v>
      </c>
      <c r="C66" s="23" t="str">
        <f aca="false">'Base Despesas'!C66</f>
        <v>Google One</v>
      </c>
      <c r="D66" s="24" t="n">
        <f aca="false">'Base Despesas'!D66</f>
        <v>14.99</v>
      </c>
      <c r="E66" s="23" t="n">
        <f aca="false">'Base Despesas'!E66</f>
        <v>0</v>
      </c>
      <c r="F66" s="23" t="n">
        <f aca="false">'Base Despesas'!F66</f>
        <v>0</v>
      </c>
      <c r="G66" s="23" t="n">
        <f aca="false">'Base Despesas'!G66</f>
        <v>0</v>
      </c>
      <c r="H66" s="23" t="n">
        <f aca="false">'Base Despesas'!H66</f>
        <v>0</v>
      </c>
      <c r="I66" s="23" t="n">
        <f aca="false">'Base Despesas'!I66</f>
        <v>0</v>
      </c>
      <c r="J66" s="23" t="str">
        <f aca="false">IF(OR(B66="Salários e Benefícios",B66="Licenças / Ferramentas",B66="Custos Fixos"),"Fixa","Variável")</f>
        <v>Fixa</v>
      </c>
      <c r="K66" s="23" t="str">
        <f aca="false">IF(G66="PAGO","OK",IF(D66&gt;0,"⚠ Revisar","-"))</f>
        <v>⚠ Revisar</v>
      </c>
    </row>
    <row r="67" customFormat="false" ht="15" hidden="false" customHeight="false" outlineLevel="0" collapsed="false">
      <c r="A67" s="23" t="str">
        <f aca="false">'Base Despesas'!A67</f>
        <v>Maio</v>
      </c>
      <c r="B67" s="23" t="str">
        <f aca="false">'Base Despesas'!B67</f>
        <v>Licenças / Ferramentas</v>
      </c>
      <c r="C67" s="23" t="str">
        <f aca="false">'Base Despesas'!C67</f>
        <v>Google One</v>
      </c>
      <c r="D67" s="24" t="n">
        <f aca="false">'Base Despesas'!D67</f>
        <v>14.99</v>
      </c>
      <c r="E67" s="23" t="n">
        <f aca="false">'Base Despesas'!E67</f>
        <v>0</v>
      </c>
      <c r="F67" s="23" t="n">
        <f aca="false">'Base Despesas'!F67</f>
        <v>0</v>
      </c>
      <c r="G67" s="23" t="n">
        <f aca="false">'Base Despesas'!G67</f>
        <v>0</v>
      </c>
      <c r="H67" s="23" t="n">
        <f aca="false">'Base Despesas'!H67</f>
        <v>0</v>
      </c>
      <c r="I67" s="23" t="n">
        <f aca="false">'Base Despesas'!I67</f>
        <v>0</v>
      </c>
      <c r="J67" s="23" t="str">
        <f aca="false">IF(OR(B67="Salários e Benefícios",B67="Licenças / Ferramentas",B67="Custos Fixos"),"Fixa","Variável")</f>
        <v>Fixa</v>
      </c>
      <c r="K67" s="23" t="str">
        <f aca="false">IF(G67="PAGO","OK",IF(D67&gt;0,"⚠ Revisar","-"))</f>
        <v>⚠ Revisar</v>
      </c>
    </row>
    <row r="68" customFormat="false" ht="15" hidden="false" customHeight="false" outlineLevel="0" collapsed="false">
      <c r="A68" s="23" t="str">
        <f aca="false">'Base Despesas'!A68</f>
        <v>Janeiro</v>
      </c>
      <c r="B68" s="23" t="str">
        <f aca="false">'Base Despesas'!B68</f>
        <v>Licenças / Ferramentas</v>
      </c>
      <c r="C68" s="23" t="str">
        <f aca="false">'Base Despesas'!C68</f>
        <v>Fluterflow</v>
      </c>
      <c r="D68" s="24" t="n">
        <f aca="false">'Base Despesas'!D68</f>
        <v>214.82</v>
      </c>
      <c r="E68" s="23" t="n">
        <f aca="false">'Base Despesas'!E68</f>
        <v>0</v>
      </c>
      <c r="F68" s="23" t="n">
        <f aca="false">'Base Despesas'!F68</f>
        <v>0</v>
      </c>
      <c r="G68" s="23" t="n">
        <f aca="false">'Base Despesas'!G68</f>
        <v>0</v>
      </c>
      <c r="H68" s="23" t="n">
        <f aca="false">'Base Despesas'!H68</f>
        <v>0</v>
      </c>
      <c r="I68" s="23" t="n">
        <f aca="false">'Base Despesas'!I68</f>
        <v>0</v>
      </c>
      <c r="J68" s="23" t="str">
        <f aca="false">IF(OR(B68="Salários e Benefícios",B68="Licenças / Ferramentas",B68="Custos Fixos"),"Fixa","Variável")</f>
        <v>Fixa</v>
      </c>
      <c r="K68" s="23" t="str">
        <f aca="false">IF(G68="PAGO","OK",IF(D68&gt;0,"⚠ Revisar","-"))</f>
        <v>⚠ Revisar</v>
      </c>
    </row>
    <row r="69" customFormat="false" ht="15" hidden="false" customHeight="false" outlineLevel="0" collapsed="false">
      <c r="A69" s="23" t="str">
        <f aca="false">'Base Despesas'!A69</f>
        <v>Fevereiro</v>
      </c>
      <c r="B69" s="23" t="str">
        <f aca="false">'Base Despesas'!B69</f>
        <v>Licenças / Ferramentas</v>
      </c>
      <c r="C69" s="23" t="str">
        <f aca="false">'Base Despesas'!C69</f>
        <v>Fluterflow</v>
      </c>
      <c r="D69" s="24" t="n">
        <f aca="false">'Base Despesas'!D69</f>
        <v>214.82</v>
      </c>
      <c r="E69" s="23" t="n">
        <f aca="false">'Base Despesas'!E69</f>
        <v>0</v>
      </c>
      <c r="F69" s="23" t="n">
        <f aca="false">'Base Despesas'!F69</f>
        <v>0</v>
      </c>
      <c r="G69" s="23" t="n">
        <f aca="false">'Base Despesas'!G69</f>
        <v>0</v>
      </c>
      <c r="H69" s="23" t="n">
        <f aca="false">'Base Despesas'!H69</f>
        <v>0</v>
      </c>
      <c r="I69" s="23" t="n">
        <f aca="false">'Base Despesas'!I69</f>
        <v>0</v>
      </c>
      <c r="J69" s="23" t="str">
        <f aca="false">IF(OR(B69="Salários e Benefícios",B69="Licenças / Ferramentas",B69="Custos Fixos"),"Fixa","Variável")</f>
        <v>Fixa</v>
      </c>
      <c r="K69" s="23" t="str">
        <f aca="false">IF(G69="PAGO","OK",IF(D69&gt;0,"⚠ Revisar","-"))</f>
        <v>⚠ Revisar</v>
      </c>
    </row>
    <row r="70" customFormat="false" ht="15" hidden="false" customHeight="false" outlineLevel="0" collapsed="false">
      <c r="A70" s="23" t="str">
        <f aca="false">'Base Despesas'!A70</f>
        <v>Março</v>
      </c>
      <c r="B70" s="23" t="str">
        <f aca="false">'Base Despesas'!B70</f>
        <v>Licenças / Ferramentas</v>
      </c>
      <c r="C70" s="23" t="str">
        <f aca="false">'Base Despesas'!C70</f>
        <v>Fluterflow</v>
      </c>
      <c r="D70" s="24" t="n">
        <f aca="false">'Base Despesas'!D70</f>
        <v>214.82</v>
      </c>
      <c r="E70" s="23" t="n">
        <f aca="false">'Base Despesas'!E70</f>
        <v>0</v>
      </c>
      <c r="F70" s="23" t="n">
        <f aca="false">'Base Despesas'!F70</f>
        <v>0</v>
      </c>
      <c r="G70" s="23" t="n">
        <f aca="false">'Base Despesas'!G70</f>
        <v>0</v>
      </c>
      <c r="H70" s="23" t="n">
        <f aca="false">'Base Despesas'!H70</f>
        <v>0</v>
      </c>
      <c r="I70" s="23" t="n">
        <f aca="false">'Base Despesas'!I70</f>
        <v>0</v>
      </c>
      <c r="J70" s="23" t="str">
        <f aca="false">IF(OR(B70="Salários e Benefícios",B70="Licenças / Ferramentas",B70="Custos Fixos"),"Fixa","Variável")</f>
        <v>Fixa</v>
      </c>
      <c r="K70" s="23" t="str">
        <f aca="false">IF(G70="PAGO","OK",IF(D70&gt;0,"⚠ Revisar","-"))</f>
        <v>⚠ Revisar</v>
      </c>
    </row>
    <row r="71" customFormat="false" ht="15" hidden="false" customHeight="false" outlineLevel="0" collapsed="false">
      <c r="A71" s="23" t="str">
        <f aca="false">'Base Despesas'!A71</f>
        <v>Abril</v>
      </c>
      <c r="B71" s="23" t="str">
        <f aca="false">'Base Despesas'!B71</f>
        <v>Licenças / Ferramentas</v>
      </c>
      <c r="C71" s="23" t="str">
        <f aca="false">'Base Despesas'!C71</f>
        <v>Fluterflow</v>
      </c>
      <c r="D71" s="24" t="n">
        <f aca="false">'Base Despesas'!D71</f>
        <v>214.82</v>
      </c>
      <c r="E71" s="23" t="n">
        <f aca="false">'Base Despesas'!E71</f>
        <v>0</v>
      </c>
      <c r="F71" s="23" t="n">
        <f aca="false">'Base Despesas'!F71</f>
        <v>0</v>
      </c>
      <c r="G71" s="23" t="n">
        <f aca="false">'Base Despesas'!G71</f>
        <v>0</v>
      </c>
      <c r="H71" s="23" t="n">
        <f aca="false">'Base Despesas'!H71</f>
        <v>0</v>
      </c>
      <c r="I71" s="23" t="n">
        <f aca="false">'Base Despesas'!I71</f>
        <v>0</v>
      </c>
      <c r="J71" s="23" t="str">
        <f aca="false">IF(OR(B71="Salários e Benefícios",B71="Licenças / Ferramentas",B71="Custos Fixos"),"Fixa","Variável")</f>
        <v>Fixa</v>
      </c>
      <c r="K71" s="23" t="str">
        <f aca="false">IF(G71="PAGO","OK",IF(D71&gt;0,"⚠ Revisar","-"))</f>
        <v>⚠ Revisar</v>
      </c>
    </row>
    <row r="72" customFormat="false" ht="15" hidden="false" customHeight="false" outlineLevel="0" collapsed="false">
      <c r="A72" s="23" t="str">
        <f aca="false">'Base Despesas'!A72</f>
        <v>Maio</v>
      </c>
      <c r="B72" s="23" t="str">
        <f aca="false">'Base Despesas'!B72</f>
        <v>Licenças / Ferramentas</v>
      </c>
      <c r="C72" s="23" t="str">
        <f aca="false">'Base Despesas'!C72</f>
        <v>Fluterflow</v>
      </c>
      <c r="D72" s="24" t="n">
        <f aca="false">'Base Despesas'!D72</f>
        <v>214.82</v>
      </c>
      <c r="E72" s="23" t="n">
        <f aca="false">'Base Despesas'!E72</f>
        <v>0</v>
      </c>
      <c r="F72" s="23" t="n">
        <f aca="false">'Base Despesas'!F72</f>
        <v>0</v>
      </c>
      <c r="G72" s="23" t="n">
        <f aca="false">'Base Despesas'!G72</f>
        <v>0</v>
      </c>
      <c r="H72" s="23" t="n">
        <f aca="false">'Base Despesas'!H72</f>
        <v>0</v>
      </c>
      <c r="I72" s="23" t="n">
        <f aca="false">'Base Despesas'!I72</f>
        <v>0</v>
      </c>
      <c r="J72" s="23" t="str">
        <f aca="false">IF(OR(B72="Salários e Benefícios",B72="Licenças / Ferramentas",B72="Custos Fixos"),"Fixa","Variável")</f>
        <v>Fixa</v>
      </c>
      <c r="K72" s="23" t="str">
        <f aca="false">IF(G72="PAGO","OK",IF(D72&gt;0,"⚠ Revisar","-"))</f>
        <v>⚠ Revisar</v>
      </c>
    </row>
    <row r="73" customFormat="false" ht="15" hidden="false" customHeight="false" outlineLevel="0" collapsed="false">
      <c r="A73" s="23" t="str">
        <f aca="false">'Base Despesas'!A73</f>
        <v>Janeiro</v>
      </c>
      <c r="B73" s="23" t="str">
        <f aca="false">'Base Despesas'!B73</f>
        <v>Licenças / Ferramentas</v>
      </c>
      <c r="C73" s="23" t="str">
        <f aca="false">'Base Despesas'!C73</f>
        <v>Adobe</v>
      </c>
      <c r="D73" s="24" t="n">
        <f aca="false">'Base Despesas'!D73</f>
        <v>275</v>
      </c>
      <c r="E73" s="23" t="n">
        <f aca="false">'Base Despesas'!E73</f>
        <v>0</v>
      </c>
      <c r="F73" s="23" t="n">
        <f aca="false">'Base Despesas'!F73</f>
        <v>0</v>
      </c>
      <c r="G73" s="23" t="n">
        <f aca="false">'Base Despesas'!G73</f>
        <v>0</v>
      </c>
      <c r="H73" s="23" t="n">
        <f aca="false">'Base Despesas'!H73</f>
        <v>0</v>
      </c>
      <c r="I73" s="23" t="n">
        <f aca="false">'Base Despesas'!I73</f>
        <v>0</v>
      </c>
      <c r="J73" s="23" t="str">
        <f aca="false">IF(OR(B73="Salários e Benefícios",B73="Licenças / Ferramentas",B73="Custos Fixos"),"Fixa","Variável")</f>
        <v>Fixa</v>
      </c>
      <c r="K73" s="23" t="str">
        <f aca="false">IF(G73="PAGO","OK",IF(D73&gt;0,"⚠ Revisar","-"))</f>
        <v>⚠ Revisar</v>
      </c>
    </row>
    <row r="74" customFormat="false" ht="15" hidden="false" customHeight="false" outlineLevel="0" collapsed="false">
      <c r="A74" s="23" t="str">
        <f aca="false">'Base Despesas'!A74</f>
        <v>Fevereiro</v>
      </c>
      <c r="B74" s="23" t="str">
        <f aca="false">'Base Despesas'!B74</f>
        <v>Licenças / Ferramentas</v>
      </c>
      <c r="C74" s="23" t="str">
        <f aca="false">'Base Despesas'!C74</f>
        <v>Adobe</v>
      </c>
      <c r="D74" s="24" t="n">
        <f aca="false">'Base Despesas'!D74</f>
        <v>275</v>
      </c>
      <c r="E74" s="23" t="n">
        <f aca="false">'Base Despesas'!E74</f>
        <v>0</v>
      </c>
      <c r="F74" s="23" t="n">
        <f aca="false">'Base Despesas'!F74</f>
        <v>0</v>
      </c>
      <c r="G74" s="23" t="n">
        <f aca="false">'Base Despesas'!G74</f>
        <v>0</v>
      </c>
      <c r="H74" s="23" t="n">
        <f aca="false">'Base Despesas'!H74</f>
        <v>0</v>
      </c>
      <c r="I74" s="23" t="n">
        <f aca="false">'Base Despesas'!I74</f>
        <v>0</v>
      </c>
      <c r="J74" s="23" t="str">
        <f aca="false">IF(OR(B74="Salários e Benefícios",B74="Licenças / Ferramentas",B74="Custos Fixos"),"Fixa","Variável")</f>
        <v>Fixa</v>
      </c>
      <c r="K74" s="23" t="str">
        <f aca="false">IF(G74="PAGO","OK",IF(D74&gt;0,"⚠ Revisar","-"))</f>
        <v>⚠ Revisar</v>
      </c>
    </row>
    <row r="75" customFormat="false" ht="15" hidden="false" customHeight="false" outlineLevel="0" collapsed="false">
      <c r="A75" s="23" t="str">
        <f aca="false">'Base Despesas'!A75</f>
        <v>Março</v>
      </c>
      <c r="B75" s="23" t="str">
        <f aca="false">'Base Despesas'!B75</f>
        <v>Licenças / Ferramentas</v>
      </c>
      <c r="C75" s="23" t="str">
        <f aca="false">'Base Despesas'!C75</f>
        <v>Adobe</v>
      </c>
      <c r="D75" s="24" t="n">
        <f aca="false">'Base Despesas'!D75</f>
        <v>275</v>
      </c>
      <c r="E75" s="23" t="n">
        <f aca="false">'Base Despesas'!E75</f>
        <v>0</v>
      </c>
      <c r="F75" s="23" t="n">
        <f aca="false">'Base Despesas'!F75</f>
        <v>0</v>
      </c>
      <c r="G75" s="23" t="n">
        <f aca="false">'Base Despesas'!G75</f>
        <v>0</v>
      </c>
      <c r="H75" s="23" t="n">
        <f aca="false">'Base Despesas'!H75</f>
        <v>0</v>
      </c>
      <c r="I75" s="23" t="n">
        <f aca="false">'Base Despesas'!I75</f>
        <v>0</v>
      </c>
      <c r="J75" s="23" t="str">
        <f aca="false">IF(OR(B75="Salários e Benefícios",B75="Licenças / Ferramentas",B75="Custos Fixos"),"Fixa","Variável")</f>
        <v>Fixa</v>
      </c>
      <c r="K75" s="23" t="str">
        <f aca="false">IF(G75="PAGO","OK",IF(D75&gt;0,"⚠ Revisar","-"))</f>
        <v>⚠ Revisar</v>
      </c>
    </row>
    <row r="76" customFormat="false" ht="15" hidden="false" customHeight="false" outlineLevel="0" collapsed="false">
      <c r="A76" s="23" t="str">
        <f aca="false">'Base Despesas'!A76</f>
        <v>Abril</v>
      </c>
      <c r="B76" s="23" t="str">
        <f aca="false">'Base Despesas'!B76</f>
        <v>Licenças / Ferramentas</v>
      </c>
      <c r="C76" s="23" t="str">
        <f aca="false">'Base Despesas'!C76</f>
        <v>Adobe</v>
      </c>
      <c r="D76" s="24" t="n">
        <f aca="false">'Base Despesas'!D76</f>
        <v>275</v>
      </c>
      <c r="E76" s="23" t="n">
        <f aca="false">'Base Despesas'!E76</f>
        <v>0</v>
      </c>
      <c r="F76" s="23" t="n">
        <f aca="false">'Base Despesas'!F76</f>
        <v>0</v>
      </c>
      <c r="G76" s="23" t="n">
        <f aca="false">'Base Despesas'!G76</f>
        <v>0</v>
      </c>
      <c r="H76" s="23" t="n">
        <f aca="false">'Base Despesas'!H76</f>
        <v>0</v>
      </c>
      <c r="I76" s="23" t="n">
        <f aca="false">'Base Despesas'!I76</f>
        <v>0</v>
      </c>
      <c r="J76" s="23" t="str">
        <f aca="false">IF(OR(B76="Salários e Benefícios",B76="Licenças / Ferramentas",B76="Custos Fixos"),"Fixa","Variável")</f>
        <v>Fixa</v>
      </c>
      <c r="K76" s="23" t="str">
        <f aca="false">IF(G76="PAGO","OK",IF(D76&gt;0,"⚠ Revisar","-"))</f>
        <v>⚠ Revisar</v>
      </c>
    </row>
    <row r="77" customFormat="false" ht="15" hidden="false" customHeight="false" outlineLevel="0" collapsed="false">
      <c r="A77" s="23" t="str">
        <f aca="false">'Base Despesas'!A77</f>
        <v>Maio</v>
      </c>
      <c r="B77" s="23" t="str">
        <f aca="false">'Base Despesas'!B77</f>
        <v>Licenças / Ferramentas</v>
      </c>
      <c r="C77" s="23" t="str">
        <f aca="false">'Base Despesas'!C77</f>
        <v>Adobe</v>
      </c>
      <c r="D77" s="24" t="n">
        <f aca="false">'Base Despesas'!D77</f>
        <v>275</v>
      </c>
      <c r="E77" s="23" t="n">
        <f aca="false">'Base Despesas'!E77</f>
        <v>0</v>
      </c>
      <c r="F77" s="23" t="n">
        <f aca="false">'Base Despesas'!F77</f>
        <v>0</v>
      </c>
      <c r="G77" s="23" t="n">
        <f aca="false">'Base Despesas'!G77</f>
        <v>0</v>
      </c>
      <c r="H77" s="23" t="n">
        <f aca="false">'Base Despesas'!H77</f>
        <v>0</v>
      </c>
      <c r="I77" s="23" t="n">
        <f aca="false">'Base Despesas'!I77</f>
        <v>0</v>
      </c>
      <c r="J77" s="23" t="str">
        <f aca="false">IF(OR(B77="Salários e Benefícios",B77="Licenças / Ferramentas",B77="Custos Fixos"),"Fixa","Variável")</f>
        <v>Fixa</v>
      </c>
      <c r="K77" s="23" t="str">
        <f aca="false">IF(G77="PAGO","OK",IF(D77&gt;0,"⚠ Revisar","-"))</f>
        <v>⚠ Revisar</v>
      </c>
    </row>
    <row r="78" customFormat="false" ht="15" hidden="false" customHeight="false" outlineLevel="0" collapsed="false">
      <c r="A78" s="23" t="str">
        <f aca="false">'Base Despesas'!A78</f>
        <v>Janeiro</v>
      </c>
      <c r="B78" s="23" t="str">
        <f aca="false">'Base Despesas'!B78</f>
        <v>Licenças / Ferramentas</v>
      </c>
      <c r="C78" s="23" t="str">
        <f aca="false">'Base Despesas'!C78</f>
        <v>Apple bill</v>
      </c>
      <c r="D78" s="24" t="n">
        <f aca="false">'Base Despesas'!D78</f>
        <v>73.8</v>
      </c>
      <c r="E78" s="23" t="n">
        <f aca="false">'Base Despesas'!E78</f>
        <v>0</v>
      </c>
      <c r="F78" s="23" t="n">
        <f aca="false">'Base Despesas'!F78</f>
        <v>0</v>
      </c>
      <c r="G78" s="23" t="n">
        <f aca="false">'Base Despesas'!G78</f>
        <v>0</v>
      </c>
      <c r="H78" s="23" t="n">
        <f aca="false">'Base Despesas'!H78</f>
        <v>0</v>
      </c>
      <c r="I78" s="23" t="n">
        <f aca="false">'Base Despesas'!I78</f>
        <v>0</v>
      </c>
      <c r="J78" s="23" t="str">
        <f aca="false">IF(OR(B78="Salários e Benefícios",B78="Licenças / Ferramentas",B78="Custos Fixos"),"Fixa","Variável")</f>
        <v>Fixa</v>
      </c>
      <c r="K78" s="23" t="str">
        <f aca="false">IF(G78="PAGO","OK",IF(D78&gt;0,"⚠ Revisar","-"))</f>
        <v>⚠ Revisar</v>
      </c>
    </row>
    <row r="79" customFormat="false" ht="15" hidden="false" customHeight="false" outlineLevel="0" collapsed="false">
      <c r="A79" s="23" t="str">
        <f aca="false">'Base Despesas'!A79</f>
        <v>Fevereiro</v>
      </c>
      <c r="B79" s="23" t="str">
        <f aca="false">'Base Despesas'!B79</f>
        <v>Licenças / Ferramentas</v>
      </c>
      <c r="C79" s="23" t="str">
        <f aca="false">'Base Despesas'!C79</f>
        <v>Apple bill</v>
      </c>
      <c r="D79" s="24" t="n">
        <f aca="false">'Base Despesas'!D79</f>
        <v>73.8</v>
      </c>
      <c r="E79" s="23" t="n">
        <f aca="false">'Base Despesas'!E79</f>
        <v>0</v>
      </c>
      <c r="F79" s="23" t="n">
        <f aca="false">'Base Despesas'!F79</f>
        <v>0</v>
      </c>
      <c r="G79" s="23" t="n">
        <f aca="false">'Base Despesas'!G79</f>
        <v>0</v>
      </c>
      <c r="H79" s="23" t="n">
        <f aca="false">'Base Despesas'!H79</f>
        <v>0</v>
      </c>
      <c r="I79" s="23" t="n">
        <f aca="false">'Base Despesas'!I79</f>
        <v>0</v>
      </c>
      <c r="J79" s="23" t="str">
        <f aca="false">IF(OR(B79="Salários e Benefícios",B79="Licenças / Ferramentas",B79="Custos Fixos"),"Fixa","Variável")</f>
        <v>Fixa</v>
      </c>
      <c r="K79" s="23" t="str">
        <f aca="false">IF(G79="PAGO","OK",IF(D79&gt;0,"⚠ Revisar","-"))</f>
        <v>⚠ Revisar</v>
      </c>
    </row>
    <row r="80" customFormat="false" ht="15" hidden="false" customHeight="false" outlineLevel="0" collapsed="false">
      <c r="A80" s="23" t="str">
        <f aca="false">'Base Despesas'!A80</f>
        <v>Março</v>
      </c>
      <c r="B80" s="23" t="str">
        <f aca="false">'Base Despesas'!B80</f>
        <v>Licenças / Ferramentas</v>
      </c>
      <c r="C80" s="23" t="str">
        <f aca="false">'Base Despesas'!C80</f>
        <v>Apple bill</v>
      </c>
      <c r="D80" s="24" t="n">
        <f aca="false">'Base Despesas'!D80</f>
        <v>73.8</v>
      </c>
      <c r="E80" s="23" t="n">
        <f aca="false">'Base Despesas'!E80</f>
        <v>0</v>
      </c>
      <c r="F80" s="23" t="n">
        <f aca="false">'Base Despesas'!F80</f>
        <v>0</v>
      </c>
      <c r="G80" s="23" t="n">
        <f aca="false">'Base Despesas'!G80</f>
        <v>0</v>
      </c>
      <c r="H80" s="23" t="n">
        <f aca="false">'Base Despesas'!H80</f>
        <v>0</v>
      </c>
      <c r="I80" s="23" t="n">
        <f aca="false">'Base Despesas'!I80</f>
        <v>0</v>
      </c>
      <c r="J80" s="23" t="str">
        <f aca="false">IF(OR(B80="Salários e Benefícios",B80="Licenças / Ferramentas",B80="Custos Fixos"),"Fixa","Variável")</f>
        <v>Fixa</v>
      </c>
      <c r="K80" s="23" t="str">
        <f aca="false">IF(G80="PAGO","OK",IF(D80&gt;0,"⚠ Revisar","-"))</f>
        <v>⚠ Revisar</v>
      </c>
    </row>
    <row r="81" customFormat="false" ht="15" hidden="false" customHeight="false" outlineLevel="0" collapsed="false">
      <c r="A81" s="23" t="str">
        <f aca="false">'Base Despesas'!A81</f>
        <v>Abril</v>
      </c>
      <c r="B81" s="23" t="str">
        <f aca="false">'Base Despesas'!B81</f>
        <v>Licenças / Ferramentas</v>
      </c>
      <c r="C81" s="23" t="str">
        <f aca="false">'Base Despesas'!C81</f>
        <v>Apple bill</v>
      </c>
      <c r="D81" s="24" t="n">
        <f aca="false">'Base Despesas'!D81</f>
        <v>73.8</v>
      </c>
      <c r="E81" s="23" t="n">
        <f aca="false">'Base Despesas'!E81</f>
        <v>0</v>
      </c>
      <c r="F81" s="23" t="n">
        <f aca="false">'Base Despesas'!F81</f>
        <v>0</v>
      </c>
      <c r="G81" s="23" t="n">
        <f aca="false">'Base Despesas'!G81</f>
        <v>0</v>
      </c>
      <c r="H81" s="23" t="n">
        <f aca="false">'Base Despesas'!H81</f>
        <v>0</v>
      </c>
      <c r="I81" s="23" t="n">
        <f aca="false">'Base Despesas'!I81</f>
        <v>0</v>
      </c>
      <c r="J81" s="23" t="str">
        <f aca="false">IF(OR(B81="Salários e Benefícios",B81="Licenças / Ferramentas",B81="Custos Fixos"),"Fixa","Variável")</f>
        <v>Fixa</v>
      </c>
      <c r="K81" s="23" t="str">
        <f aca="false">IF(G81="PAGO","OK",IF(D81&gt;0,"⚠ Revisar","-"))</f>
        <v>⚠ Revisar</v>
      </c>
    </row>
    <row r="82" customFormat="false" ht="15" hidden="false" customHeight="false" outlineLevel="0" collapsed="false">
      <c r="A82" s="23" t="str">
        <f aca="false">'Base Despesas'!A82</f>
        <v>Maio</v>
      </c>
      <c r="B82" s="23" t="str">
        <f aca="false">'Base Despesas'!B82</f>
        <v>Licenças / Ferramentas</v>
      </c>
      <c r="C82" s="23" t="str">
        <f aca="false">'Base Despesas'!C82</f>
        <v>Apple bill</v>
      </c>
      <c r="D82" s="24" t="n">
        <f aca="false">'Base Despesas'!D82</f>
        <v>73.8</v>
      </c>
      <c r="E82" s="23" t="n">
        <f aca="false">'Base Despesas'!E82</f>
        <v>0</v>
      </c>
      <c r="F82" s="23" t="n">
        <f aca="false">'Base Despesas'!F82</f>
        <v>0</v>
      </c>
      <c r="G82" s="23" t="n">
        <f aca="false">'Base Despesas'!G82</f>
        <v>0</v>
      </c>
      <c r="H82" s="23" t="n">
        <f aca="false">'Base Despesas'!H82</f>
        <v>0</v>
      </c>
      <c r="I82" s="23" t="n">
        <f aca="false">'Base Despesas'!I82</f>
        <v>0</v>
      </c>
      <c r="J82" s="23" t="str">
        <f aca="false">IF(OR(B82="Salários e Benefícios",B82="Licenças / Ferramentas",B82="Custos Fixos"),"Fixa","Variável")</f>
        <v>Fixa</v>
      </c>
      <c r="K82" s="23" t="str">
        <f aca="false">IF(G82="PAGO","OK",IF(D82&gt;0,"⚠ Revisar","-"))</f>
        <v>⚠ Revisar</v>
      </c>
    </row>
    <row r="83" customFormat="false" ht="15" hidden="false" customHeight="false" outlineLevel="0" collapsed="false">
      <c r="A83" s="23" t="str">
        <f aca="false">'Base Despesas'!A83</f>
        <v>Janeiro</v>
      </c>
      <c r="B83" s="23" t="str">
        <f aca="false">'Base Despesas'!B83</f>
        <v>Licenças / Ferramentas</v>
      </c>
      <c r="C83" s="23" t="str">
        <f aca="false">'Base Despesas'!C83</f>
        <v>Dropbox</v>
      </c>
      <c r="D83" s="24" t="n">
        <f aca="false">'Base Despesas'!D83</f>
        <v>59</v>
      </c>
      <c r="E83" s="23" t="n">
        <f aca="false">'Base Despesas'!E83</f>
        <v>0</v>
      </c>
      <c r="F83" s="23" t="n">
        <f aca="false">'Base Despesas'!F83</f>
        <v>0</v>
      </c>
      <c r="G83" s="23" t="n">
        <f aca="false">'Base Despesas'!G83</f>
        <v>0</v>
      </c>
      <c r="H83" s="23" t="n">
        <f aca="false">'Base Despesas'!H83</f>
        <v>0</v>
      </c>
      <c r="I83" s="23" t="n">
        <f aca="false">'Base Despesas'!I83</f>
        <v>0</v>
      </c>
      <c r="J83" s="23" t="str">
        <f aca="false">IF(OR(B83="Salários e Benefícios",B83="Licenças / Ferramentas",B83="Custos Fixos"),"Fixa","Variável")</f>
        <v>Fixa</v>
      </c>
      <c r="K83" s="23" t="str">
        <f aca="false">IF(G83="PAGO","OK",IF(D83&gt;0,"⚠ Revisar","-"))</f>
        <v>⚠ Revisar</v>
      </c>
    </row>
    <row r="84" customFormat="false" ht="15" hidden="false" customHeight="false" outlineLevel="0" collapsed="false">
      <c r="A84" s="23" t="str">
        <f aca="false">'Base Despesas'!A84</f>
        <v>Fevereiro</v>
      </c>
      <c r="B84" s="23" t="str">
        <f aca="false">'Base Despesas'!B84</f>
        <v>Licenças / Ferramentas</v>
      </c>
      <c r="C84" s="23" t="str">
        <f aca="false">'Base Despesas'!C84</f>
        <v>Dropbox</v>
      </c>
      <c r="D84" s="24" t="n">
        <f aca="false">'Base Despesas'!D84</f>
        <v>59</v>
      </c>
      <c r="E84" s="23" t="n">
        <f aca="false">'Base Despesas'!E84</f>
        <v>0</v>
      </c>
      <c r="F84" s="23" t="n">
        <f aca="false">'Base Despesas'!F84</f>
        <v>0</v>
      </c>
      <c r="G84" s="23" t="n">
        <f aca="false">'Base Despesas'!G84</f>
        <v>0</v>
      </c>
      <c r="H84" s="23" t="n">
        <f aca="false">'Base Despesas'!H84</f>
        <v>0</v>
      </c>
      <c r="I84" s="23" t="n">
        <f aca="false">'Base Despesas'!I84</f>
        <v>0</v>
      </c>
      <c r="J84" s="23" t="str">
        <f aca="false">IF(OR(B84="Salários e Benefícios",B84="Licenças / Ferramentas",B84="Custos Fixos"),"Fixa","Variável")</f>
        <v>Fixa</v>
      </c>
      <c r="K84" s="23" t="str">
        <f aca="false">IF(G84="PAGO","OK",IF(D84&gt;0,"⚠ Revisar","-"))</f>
        <v>⚠ Revisar</v>
      </c>
    </row>
    <row r="85" customFormat="false" ht="15" hidden="false" customHeight="false" outlineLevel="0" collapsed="false">
      <c r="A85" s="23" t="str">
        <f aca="false">'Base Despesas'!A85</f>
        <v>Março</v>
      </c>
      <c r="B85" s="23" t="str">
        <f aca="false">'Base Despesas'!B85</f>
        <v>Licenças / Ferramentas</v>
      </c>
      <c r="C85" s="23" t="str">
        <f aca="false">'Base Despesas'!C85</f>
        <v>Dropbox</v>
      </c>
      <c r="D85" s="24" t="n">
        <f aca="false">'Base Despesas'!D85</f>
        <v>59</v>
      </c>
      <c r="E85" s="23" t="n">
        <f aca="false">'Base Despesas'!E85</f>
        <v>0</v>
      </c>
      <c r="F85" s="23" t="n">
        <f aca="false">'Base Despesas'!F85</f>
        <v>0</v>
      </c>
      <c r="G85" s="23" t="n">
        <f aca="false">'Base Despesas'!G85</f>
        <v>0</v>
      </c>
      <c r="H85" s="23" t="n">
        <f aca="false">'Base Despesas'!H85</f>
        <v>0</v>
      </c>
      <c r="I85" s="23" t="n">
        <f aca="false">'Base Despesas'!I85</f>
        <v>0</v>
      </c>
      <c r="J85" s="23" t="str">
        <f aca="false">IF(OR(B85="Salários e Benefícios",B85="Licenças / Ferramentas",B85="Custos Fixos"),"Fixa","Variável")</f>
        <v>Fixa</v>
      </c>
      <c r="K85" s="23" t="str">
        <f aca="false">IF(G85="PAGO","OK",IF(D85&gt;0,"⚠ Revisar","-"))</f>
        <v>⚠ Revisar</v>
      </c>
    </row>
    <row r="86" customFormat="false" ht="15" hidden="false" customHeight="false" outlineLevel="0" collapsed="false">
      <c r="A86" s="23" t="str">
        <f aca="false">'Base Despesas'!A86</f>
        <v>Abril</v>
      </c>
      <c r="B86" s="23" t="str">
        <f aca="false">'Base Despesas'!B86</f>
        <v>Licenças / Ferramentas</v>
      </c>
      <c r="C86" s="23" t="str">
        <f aca="false">'Base Despesas'!C86</f>
        <v>Dropbox</v>
      </c>
      <c r="D86" s="24" t="n">
        <f aca="false">'Base Despesas'!D86</f>
        <v>59</v>
      </c>
      <c r="E86" s="23" t="n">
        <f aca="false">'Base Despesas'!E86</f>
        <v>0</v>
      </c>
      <c r="F86" s="23" t="n">
        <f aca="false">'Base Despesas'!F86</f>
        <v>0</v>
      </c>
      <c r="G86" s="23" t="n">
        <f aca="false">'Base Despesas'!G86</f>
        <v>0</v>
      </c>
      <c r="H86" s="23" t="n">
        <f aca="false">'Base Despesas'!H86</f>
        <v>0</v>
      </c>
      <c r="I86" s="23" t="n">
        <f aca="false">'Base Despesas'!I86</f>
        <v>0</v>
      </c>
      <c r="J86" s="23" t="str">
        <f aca="false">IF(OR(B86="Salários e Benefícios",B86="Licenças / Ferramentas",B86="Custos Fixos"),"Fixa","Variável")</f>
        <v>Fixa</v>
      </c>
      <c r="K86" s="23" t="str">
        <f aca="false">IF(G86="PAGO","OK",IF(D86&gt;0,"⚠ Revisar","-"))</f>
        <v>⚠ Revisar</v>
      </c>
    </row>
    <row r="87" customFormat="false" ht="15" hidden="false" customHeight="false" outlineLevel="0" collapsed="false">
      <c r="A87" s="23" t="str">
        <f aca="false">'Base Despesas'!A87</f>
        <v>Maio</v>
      </c>
      <c r="B87" s="23" t="str">
        <f aca="false">'Base Despesas'!B87</f>
        <v>Licenças / Ferramentas</v>
      </c>
      <c r="C87" s="23" t="str">
        <f aca="false">'Base Despesas'!C87</f>
        <v>Dropbox</v>
      </c>
      <c r="D87" s="24" t="n">
        <f aca="false">'Base Despesas'!D87</f>
        <v>59</v>
      </c>
      <c r="E87" s="23" t="n">
        <f aca="false">'Base Despesas'!E87</f>
        <v>0</v>
      </c>
      <c r="F87" s="23" t="n">
        <f aca="false">'Base Despesas'!F87</f>
        <v>0</v>
      </c>
      <c r="G87" s="23" t="n">
        <f aca="false">'Base Despesas'!G87</f>
        <v>0</v>
      </c>
      <c r="H87" s="23" t="n">
        <f aca="false">'Base Despesas'!H87</f>
        <v>0</v>
      </c>
      <c r="I87" s="23" t="n">
        <f aca="false">'Base Despesas'!I87</f>
        <v>0</v>
      </c>
      <c r="J87" s="23" t="str">
        <f aca="false">IF(OR(B87="Salários e Benefícios",B87="Licenças / Ferramentas",B87="Custos Fixos"),"Fixa","Variável")</f>
        <v>Fixa</v>
      </c>
      <c r="K87" s="23" t="str">
        <f aca="false">IF(G87="PAGO","OK",IF(D87&gt;0,"⚠ Revisar","-"))</f>
        <v>⚠ Revisar</v>
      </c>
    </row>
    <row r="88" customFormat="false" ht="15" hidden="false" customHeight="false" outlineLevel="0" collapsed="false">
      <c r="A88" s="23" t="str">
        <f aca="false">'Base Despesas'!A88</f>
        <v>Janeiro</v>
      </c>
      <c r="B88" s="23" t="str">
        <f aca="false">'Base Despesas'!B88</f>
        <v>Licenças / Ferramentas</v>
      </c>
      <c r="C88" s="23" t="str">
        <f aca="false">'Base Despesas'!C88</f>
        <v>Elfsight</v>
      </c>
      <c r="D88" s="24" t="n">
        <f aca="false">'Base Despesas'!D88</f>
        <v>142.24</v>
      </c>
      <c r="E88" s="23" t="n">
        <f aca="false">'Base Despesas'!E88</f>
        <v>0</v>
      </c>
      <c r="F88" s="23" t="n">
        <f aca="false">'Base Despesas'!F88</f>
        <v>0</v>
      </c>
      <c r="G88" s="23" t="n">
        <f aca="false">'Base Despesas'!G88</f>
        <v>0</v>
      </c>
      <c r="H88" s="23" t="n">
        <f aca="false">'Base Despesas'!H88</f>
        <v>0</v>
      </c>
      <c r="I88" s="23" t="n">
        <f aca="false">'Base Despesas'!I88</f>
        <v>0</v>
      </c>
      <c r="J88" s="23" t="str">
        <f aca="false">IF(OR(B88="Salários e Benefícios",B88="Licenças / Ferramentas",B88="Custos Fixos"),"Fixa","Variável")</f>
        <v>Fixa</v>
      </c>
      <c r="K88" s="23" t="str">
        <f aca="false">IF(G88="PAGO","OK",IF(D88&gt;0,"⚠ Revisar","-"))</f>
        <v>⚠ Revisar</v>
      </c>
    </row>
    <row r="89" customFormat="false" ht="15" hidden="false" customHeight="false" outlineLevel="0" collapsed="false">
      <c r="A89" s="23" t="str">
        <f aca="false">'Base Despesas'!A89</f>
        <v>Fevereiro</v>
      </c>
      <c r="B89" s="23" t="str">
        <f aca="false">'Base Despesas'!B89</f>
        <v>Licenças / Ferramentas</v>
      </c>
      <c r="C89" s="23" t="str">
        <f aca="false">'Base Despesas'!C89</f>
        <v>Elfsight</v>
      </c>
      <c r="D89" s="24" t="n">
        <f aca="false">'Base Despesas'!D89</f>
        <v>142.24</v>
      </c>
      <c r="E89" s="23" t="n">
        <f aca="false">'Base Despesas'!E89</f>
        <v>0</v>
      </c>
      <c r="F89" s="23" t="n">
        <f aca="false">'Base Despesas'!F89</f>
        <v>0</v>
      </c>
      <c r="G89" s="23" t="n">
        <f aca="false">'Base Despesas'!G89</f>
        <v>0</v>
      </c>
      <c r="H89" s="23" t="n">
        <f aca="false">'Base Despesas'!H89</f>
        <v>0</v>
      </c>
      <c r="I89" s="23" t="n">
        <f aca="false">'Base Despesas'!I89</f>
        <v>0</v>
      </c>
      <c r="J89" s="23" t="str">
        <f aca="false">IF(OR(B89="Salários e Benefícios",B89="Licenças / Ferramentas",B89="Custos Fixos"),"Fixa","Variável")</f>
        <v>Fixa</v>
      </c>
      <c r="K89" s="23" t="str">
        <f aca="false">IF(G89="PAGO","OK",IF(D89&gt;0,"⚠ Revisar","-"))</f>
        <v>⚠ Revisar</v>
      </c>
    </row>
    <row r="90" customFormat="false" ht="15" hidden="false" customHeight="false" outlineLevel="0" collapsed="false">
      <c r="A90" s="23" t="str">
        <f aca="false">'Base Despesas'!A90</f>
        <v>Março</v>
      </c>
      <c r="B90" s="23" t="str">
        <f aca="false">'Base Despesas'!B90</f>
        <v>Licenças / Ferramentas</v>
      </c>
      <c r="C90" s="23" t="str">
        <f aca="false">'Base Despesas'!C90</f>
        <v>Elfsight</v>
      </c>
      <c r="D90" s="24" t="n">
        <f aca="false">'Base Despesas'!D90</f>
        <v>142.24</v>
      </c>
      <c r="E90" s="23" t="n">
        <f aca="false">'Base Despesas'!E90</f>
        <v>0</v>
      </c>
      <c r="F90" s="23" t="n">
        <f aca="false">'Base Despesas'!F90</f>
        <v>0</v>
      </c>
      <c r="G90" s="23" t="n">
        <f aca="false">'Base Despesas'!G90</f>
        <v>0</v>
      </c>
      <c r="H90" s="23" t="n">
        <f aca="false">'Base Despesas'!H90</f>
        <v>0</v>
      </c>
      <c r="I90" s="23" t="n">
        <f aca="false">'Base Despesas'!I90</f>
        <v>0</v>
      </c>
      <c r="J90" s="23" t="str">
        <f aca="false">IF(OR(B90="Salários e Benefícios",B90="Licenças / Ferramentas",B90="Custos Fixos"),"Fixa","Variável")</f>
        <v>Fixa</v>
      </c>
      <c r="K90" s="23" t="str">
        <f aca="false">IF(G90="PAGO","OK",IF(D90&gt;0,"⚠ Revisar","-"))</f>
        <v>⚠ Revisar</v>
      </c>
    </row>
    <row r="91" customFormat="false" ht="15" hidden="false" customHeight="false" outlineLevel="0" collapsed="false">
      <c r="A91" s="23" t="str">
        <f aca="false">'Base Despesas'!A91</f>
        <v>Abril</v>
      </c>
      <c r="B91" s="23" t="str">
        <f aca="false">'Base Despesas'!B91</f>
        <v>Licenças / Ferramentas</v>
      </c>
      <c r="C91" s="23" t="str">
        <f aca="false">'Base Despesas'!C91</f>
        <v>Elfsight</v>
      </c>
      <c r="D91" s="24" t="n">
        <f aca="false">'Base Despesas'!D91</f>
        <v>142.24</v>
      </c>
      <c r="E91" s="23" t="n">
        <f aca="false">'Base Despesas'!E91</f>
        <v>0</v>
      </c>
      <c r="F91" s="23" t="n">
        <f aca="false">'Base Despesas'!F91</f>
        <v>0</v>
      </c>
      <c r="G91" s="23" t="n">
        <f aca="false">'Base Despesas'!G91</f>
        <v>0</v>
      </c>
      <c r="H91" s="23" t="n">
        <f aca="false">'Base Despesas'!H91</f>
        <v>0</v>
      </c>
      <c r="I91" s="23" t="n">
        <f aca="false">'Base Despesas'!I91</f>
        <v>0</v>
      </c>
      <c r="J91" s="23" t="str">
        <f aca="false">IF(OR(B91="Salários e Benefícios",B91="Licenças / Ferramentas",B91="Custos Fixos"),"Fixa","Variável")</f>
        <v>Fixa</v>
      </c>
      <c r="K91" s="23" t="str">
        <f aca="false">IF(G91="PAGO","OK",IF(D91&gt;0,"⚠ Revisar","-"))</f>
        <v>⚠ Revisar</v>
      </c>
    </row>
    <row r="92" customFormat="false" ht="15" hidden="false" customHeight="false" outlineLevel="0" collapsed="false">
      <c r="A92" s="23" t="str">
        <f aca="false">'Base Despesas'!A92</f>
        <v>Maio</v>
      </c>
      <c r="B92" s="23" t="str">
        <f aca="false">'Base Despesas'!B92</f>
        <v>Licenças / Ferramentas</v>
      </c>
      <c r="C92" s="23" t="str">
        <f aca="false">'Base Despesas'!C92</f>
        <v>Elfsight</v>
      </c>
      <c r="D92" s="24" t="n">
        <f aca="false">'Base Despesas'!D92</f>
        <v>142.24</v>
      </c>
      <c r="E92" s="23" t="n">
        <f aca="false">'Base Despesas'!E92</f>
        <v>0</v>
      </c>
      <c r="F92" s="23" t="n">
        <f aca="false">'Base Despesas'!F92</f>
        <v>0</v>
      </c>
      <c r="G92" s="23" t="n">
        <f aca="false">'Base Despesas'!G92</f>
        <v>0</v>
      </c>
      <c r="H92" s="23" t="n">
        <f aca="false">'Base Despesas'!H92</f>
        <v>0</v>
      </c>
      <c r="I92" s="23" t="n">
        <f aca="false">'Base Despesas'!I92</f>
        <v>0</v>
      </c>
      <c r="J92" s="23" t="str">
        <f aca="false">IF(OR(B92="Salários e Benefícios",B92="Licenças / Ferramentas",B92="Custos Fixos"),"Fixa","Variável")</f>
        <v>Fixa</v>
      </c>
      <c r="K92" s="23" t="str">
        <f aca="false">IF(G92="PAGO","OK",IF(D92&gt;0,"⚠ Revisar","-"))</f>
        <v>⚠ Revisar</v>
      </c>
    </row>
    <row r="93" customFormat="false" ht="15" hidden="false" customHeight="false" outlineLevel="0" collapsed="false">
      <c r="A93" s="23" t="str">
        <f aca="false">'Base Despesas'!A93</f>
        <v>Janeiro</v>
      </c>
      <c r="B93" s="23" t="str">
        <f aca="false">'Base Despesas'!B93</f>
        <v>Licenças / Ferramentas</v>
      </c>
      <c r="C93" s="23" t="str">
        <f aca="false">'Base Despesas'!C93</f>
        <v>Monday</v>
      </c>
      <c r="D93" s="24" t="n">
        <f aca="false">'Base Despesas'!D93</f>
        <v>1000</v>
      </c>
      <c r="E93" s="23" t="n">
        <f aca="false">'Base Despesas'!E93</f>
        <v>0</v>
      </c>
      <c r="F93" s="23" t="n">
        <f aca="false">'Base Despesas'!F93</f>
        <v>0</v>
      </c>
      <c r="G93" s="23" t="n">
        <f aca="false">'Base Despesas'!G93</f>
        <v>0</v>
      </c>
      <c r="H93" s="23" t="n">
        <f aca="false">'Base Despesas'!H93</f>
        <v>0</v>
      </c>
      <c r="I93" s="23" t="n">
        <f aca="false">'Base Despesas'!I93</f>
        <v>0</v>
      </c>
      <c r="J93" s="23" t="str">
        <f aca="false">IF(OR(B93="Salários e Benefícios",B93="Licenças / Ferramentas",B93="Custos Fixos"),"Fixa","Variável")</f>
        <v>Fixa</v>
      </c>
      <c r="K93" s="23" t="str">
        <f aca="false">IF(G93="PAGO","OK",IF(D93&gt;0,"⚠ Revisar","-"))</f>
        <v>⚠ Revisar</v>
      </c>
    </row>
    <row r="94" customFormat="false" ht="15" hidden="false" customHeight="false" outlineLevel="0" collapsed="false">
      <c r="A94" s="23" t="str">
        <f aca="false">'Base Despesas'!A94</f>
        <v>Fevereiro</v>
      </c>
      <c r="B94" s="23" t="str">
        <f aca="false">'Base Despesas'!B94</f>
        <v>Licenças / Ferramentas</v>
      </c>
      <c r="C94" s="23" t="str">
        <f aca="false">'Base Despesas'!C94</f>
        <v>Monday</v>
      </c>
      <c r="D94" s="24" t="n">
        <f aca="false">'Base Despesas'!D94</f>
        <v>1000</v>
      </c>
      <c r="E94" s="23" t="n">
        <f aca="false">'Base Despesas'!E94</f>
        <v>0</v>
      </c>
      <c r="F94" s="23" t="n">
        <f aca="false">'Base Despesas'!F94</f>
        <v>0</v>
      </c>
      <c r="G94" s="23" t="n">
        <f aca="false">'Base Despesas'!G94</f>
        <v>0</v>
      </c>
      <c r="H94" s="23" t="n">
        <f aca="false">'Base Despesas'!H94</f>
        <v>0</v>
      </c>
      <c r="I94" s="23" t="n">
        <f aca="false">'Base Despesas'!I94</f>
        <v>0</v>
      </c>
      <c r="J94" s="23" t="str">
        <f aca="false">IF(OR(B94="Salários e Benefícios",B94="Licenças / Ferramentas",B94="Custos Fixos"),"Fixa","Variável")</f>
        <v>Fixa</v>
      </c>
      <c r="K94" s="23" t="str">
        <f aca="false">IF(G94="PAGO","OK",IF(D94&gt;0,"⚠ Revisar","-"))</f>
        <v>⚠ Revisar</v>
      </c>
    </row>
    <row r="95" customFormat="false" ht="15" hidden="false" customHeight="false" outlineLevel="0" collapsed="false">
      <c r="A95" s="23" t="str">
        <f aca="false">'Base Despesas'!A95</f>
        <v>Março</v>
      </c>
      <c r="B95" s="23" t="str">
        <f aca="false">'Base Despesas'!B95</f>
        <v>Licenças / Ferramentas</v>
      </c>
      <c r="C95" s="23" t="str">
        <f aca="false">'Base Despesas'!C95</f>
        <v>Monday</v>
      </c>
      <c r="D95" s="24" t="n">
        <f aca="false">'Base Despesas'!D95</f>
        <v>1000</v>
      </c>
      <c r="E95" s="23" t="n">
        <f aca="false">'Base Despesas'!E95</f>
        <v>0</v>
      </c>
      <c r="F95" s="23" t="n">
        <f aca="false">'Base Despesas'!F95</f>
        <v>0</v>
      </c>
      <c r="G95" s="23" t="n">
        <f aca="false">'Base Despesas'!G95</f>
        <v>0</v>
      </c>
      <c r="H95" s="23" t="n">
        <f aca="false">'Base Despesas'!H95</f>
        <v>0</v>
      </c>
      <c r="I95" s="23" t="n">
        <f aca="false">'Base Despesas'!I95</f>
        <v>0</v>
      </c>
      <c r="J95" s="23" t="str">
        <f aca="false">IF(OR(B95="Salários e Benefícios",B95="Licenças / Ferramentas",B95="Custos Fixos"),"Fixa","Variável")</f>
        <v>Fixa</v>
      </c>
      <c r="K95" s="23" t="str">
        <f aca="false">IF(G95="PAGO","OK",IF(D95&gt;0,"⚠ Revisar","-"))</f>
        <v>⚠ Revisar</v>
      </c>
    </row>
    <row r="96" customFormat="false" ht="15" hidden="false" customHeight="false" outlineLevel="0" collapsed="false">
      <c r="A96" s="23" t="str">
        <f aca="false">'Base Despesas'!A96</f>
        <v>Abril</v>
      </c>
      <c r="B96" s="23" t="str">
        <f aca="false">'Base Despesas'!B96</f>
        <v>Licenças / Ferramentas</v>
      </c>
      <c r="C96" s="23" t="str">
        <f aca="false">'Base Despesas'!C96</f>
        <v>Monday</v>
      </c>
      <c r="D96" s="24" t="n">
        <f aca="false">'Base Despesas'!D96</f>
        <v>1000</v>
      </c>
      <c r="E96" s="23" t="n">
        <f aca="false">'Base Despesas'!E96</f>
        <v>0</v>
      </c>
      <c r="F96" s="23" t="n">
        <f aca="false">'Base Despesas'!F96</f>
        <v>0</v>
      </c>
      <c r="G96" s="23" t="n">
        <f aca="false">'Base Despesas'!G96</f>
        <v>0</v>
      </c>
      <c r="H96" s="23" t="n">
        <f aca="false">'Base Despesas'!H96</f>
        <v>0</v>
      </c>
      <c r="I96" s="23" t="n">
        <f aca="false">'Base Despesas'!I96</f>
        <v>0</v>
      </c>
      <c r="J96" s="23" t="str">
        <f aca="false">IF(OR(B96="Salários e Benefícios",B96="Licenças / Ferramentas",B96="Custos Fixos"),"Fixa","Variável")</f>
        <v>Fixa</v>
      </c>
      <c r="K96" s="23" t="str">
        <f aca="false">IF(G96="PAGO","OK",IF(D96&gt;0,"⚠ Revisar","-"))</f>
        <v>⚠ Revisar</v>
      </c>
    </row>
    <row r="97" customFormat="false" ht="15" hidden="false" customHeight="false" outlineLevel="0" collapsed="false">
      <c r="A97" s="23" t="str">
        <f aca="false">'Base Despesas'!A97</f>
        <v>Maio</v>
      </c>
      <c r="B97" s="23" t="str">
        <f aca="false">'Base Despesas'!B97</f>
        <v>Licenças / Ferramentas</v>
      </c>
      <c r="C97" s="23" t="str">
        <f aca="false">'Base Despesas'!C97</f>
        <v>Monday</v>
      </c>
      <c r="D97" s="24" t="n">
        <f aca="false">'Base Despesas'!D97</f>
        <v>1000</v>
      </c>
      <c r="E97" s="23" t="n">
        <f aca="false">'Base Despesas'!E97</f>
        <v>0</v>
      </c>
      <c r="F97" s="23" t="n">
        <f aca="false">'Base Despesas'!F97</f>
        <v>0</v>
      </c>
      <c r="G97" s="23" t="n">
        <f aca="false">'Base Despesas'!G97</f>
        <v>0</v>
      </c>
      <c r="H97" s="23" t="n">
        <f aca="false">'Base Despesas'!H97</f>
        <v>0</v>
      </c>
      <c r="I97" s="23" t="n">
        <f aca="false">'Base Despesas'!I97</f>
        <v>0</v>
      </c>
      <c r="J97" s="23" t="str">
        <f aca="false">IF(OR(B97="Salários e Benefícios",B97="Licenças / Ferramentas",B97="Custos Fixos"),"Fixa","Variável")</f>
        <v>Fixa</v>
      </c>
      <c r="K97" s="23" t="str">
        <f aca="false">IF(G97="PAGO","OK",IF(D97&gt;0,"⚠ Revisar","-"))</f>
        <v>⚠ Revisar</v>
      </c>
    </row>
    <row r="98" customFormat="false" ht="15" hidden="false" customHeight="false" outlineLevel="0" collapsed="false">
      <c r="A98" s="23" t="str">
        <f aca="false">'Base Despesas'!A98</f>
        <v>Janeiro</v>
      </c>
      <c r="B98" s="23" t="str">
        <f aca="false">'Base Despesas'!B98</f>
        <v>Licenças / Ferramentas</v>
      </c>
      <c r="C98" s="23" t="str">
        <f aca="false">'Base Despesas'!C98</f>
        <v>Canva</v>
      </c>
      <c r="D98" s="24" t="n">
        <f aca="false">'Base Despesas'!D98</f>
        <v>44.99</v>
      </c>
      <c r="E98" s="23" t="n">
        <f aca="false">'Base Despesas'!E98</f>
        <v>0</v>
      </c>
      <c r="F98" s="23" t="n">
        <f aca="false">'Base Despesas'!F98</f>
        <v>0</v>
      </c>
      <c r="G98" s="23" t="n">
        <f aca="false">'Base Despesas'!G98</f>
        <v>0</v>
      </c>
      <c r="H98" s="23" t="n">
        <f aca="false">'Base Despesas'!H98</f>
        <v>0</v>
      </c>
      <c r="I98" s="23" t="n">
        <f aca="false">'Base Despesas'!I98</f>
        <v>0</v>
      </c>
      <c r="J98" s="23" t="str">
        <f aca="false">IF(OR(B98="Salários e Benefícios",B98="Licenças / Ferramentas",B98="Custos Fixos"),"Fixa","Variável")</f>
        <v>Fixa</v>
      </c>
      <c r="K98" s="23" t="str">
        <f aca="false">IF(G98="PAGO","OK",IF(D98&gt;0,"⚠ Revisar","-"))</f>
        <v>⚠ Revisar</v>
      </c>
    </row>
    <row r="99" customFormat="false" ht="15" hidden="false" customHeight="false" outlineLevel="0" collapsed="false">
      <c r="A99" s="23" t="str">
        <f aca="false">'Base Despesas'!A99</f>
        <v>Fevereiro</v>
      </c>
      <c r="B99" s="23" t="str">
        <f aca="false">'Base Despesas'!B99</f>
        <v>Licenças / Ferramentas</v>
      </c>
      <c r="C99" s="23" t="str">
        <f aca="false">'Base Despesas'!C99</f>
        <v>Canva</v>
      </c>
      <c r="D99" s="24" t="n">
        <f aca="false">'Base Despesas'!D99</f>
        <v>44.99</v>
      </c>
      <c r="E99" s="23" t="n">
        <f aca="false">'Base Despesas'!E99</f>
        <v>0</v>
      </c>
      <c r="F99" s="23" t="n">
        <f aca="false">'Base Despesas'!F99</f>
        <v>0</v>
      </c>
      <c r="G99" s="23" t="n">
        <f aca="false">'Base Despesas'!G99</f>
        <v>0</v>
      </c>
      <c r="H99" s="23" t="n">
        <f aca="false">'Base Despesas'!H99</f>
        <v>0</v>
      </c>
      <c r="I99" s="23" t="n">
        <f aca="false">'Base Despesas'!I99</f>
        <v>0</v>
      </c>
      <c r="J99" s="23" t="str">
        <f aca="false">IF(OR(B99="Salários e Benefícios",B99="Licenças / Ferramentas",B99="Custos Fixos"),"Fixa","Variável")</f>
        <v>Fixa</v>
      </c>
      <c r="K99" s="23" t="str">
        <f aca="false">IF(G99="PAGO","OK",IF(D99&gt;0,"⚠ Revisar","-"))</f>
        <v>⚠ Revisar</v>
      </c>
    </row>
    <row r="100" customFormat="false" ht="15" hidden="false" customHeight="false" outlineLevel="0" collapsed="false">
      <c r="A100" s="23" t="str">
        <f aca="false">'Base Despesas'!A100</f>
        <v>Março</v>
      </c>
      <c r="B100" s="23" t="str">
        <f aca="false">'Base Despesas'!B100</f>
        <v>Licenças / Ferramentas</v>
      </c>
      <c r="C100" s="23" t="str">
        <f aca="false">'Base Despesas'!C100</f>
        <v>Canva</v>
      </c>
      <c r="D100" s="24" t="n">
        <f aca="false">'Base Despesas'!D100</f>
        <v>44.99</v>
      </c>
      <c r="E100" s="23" t="n">
        <f aca="false">'Base Despesas'!E100</f>
        <v>0</v>
      </c>
      <c r="F100" s="23" t="n">
        <f aca="false">'Base Despesas'!F100</f>
        <v>0</v>
      </c>
      <c r="G100" s="23" t="n">
        <f aca="false">'Base Despesas'!G100</f>
        <v>0</v>
      </c>
      <c r="H100" s="23" t="n">
        <f aca="false">'Base Despesas'!H100</f>
        <v>0</v>
      </c>
      <c r="I100" s="23" t="n">
        <f aca="false">'Base Despesas'!I100</f>
        <v>0</v>
      </c>
      <c r="J100" s="23" t="str">
        <f aca="false">IF(OR(B100="Salários e Benefícios",B100="Licenças / Ferramentas",B100="Custos Fixos"),"Fixa","Variável")</f>
        <v>Fixa</v>
      </c>
      <c r="K100" s="23" t="str">
        <f aca="false">IF(G100="PAGO","OK",IF(D100&gt;0,"⚠ Revisar","-"))</f>
        <v>⚠ Revisar</v>
      </c>
    </row>
    <row r="101" customFormat="false" ht="15" hidden="false" customHeight="false" outlineLevel="0" collapsed="false">
      <c r="A101" s="23" t="str">
        <f aca="false">'Base Despesas'!A101</f>
        <v>Abril</v>
      </c>
      <c r="B101" s="23" t="str">
        <f aca="false">'Base Despesas'!B101</f>
        <v>Licenças / Ferramentas</v>
      </c>
      <c r="C101" s="23" t="str">
        <f aca="false">'Base Despesas'!C101</f>
        <v>Canva</v>
      </c>
      <c r="D101" s="24" t="n">
        <f aca="false">'Base Despesas'!D101</f>
        <v>44.99</v>
      </c>
      <c r="E101" s="23" t="n">
        <f aca="false">'Base Despesas'!E101</f>
        <v>0</v>
      </c>
      <c r="F101" s="23" t="n">
        <f aca="false">'Base Despesas'!F101</f>
        <v>0</v>
      </c>
      <c r="G101" s="23" t="n">
        <f aca="false">'Base Despesas'!G101</f>
        <v>0</v>
      </c>
      <c r="H101" s="23" t="n">
        <f aca="false">'Base Despesas'!H101</f>
        <v>0</v>
      </c>
      <c r="I101" s="23" t="n">
        <f aca="false">'Base Despesas'!I101</f>
        <v>0</v>
      </c>
      <c r="J101" s="23" t="str">
        <f aca="false">IF(OR(B101="Salários e Benefícios",B101="Licenças / Ferramentas",B101="Custos Fixos"),"Fixa","Variável")</f>
        <v>Fixa</v>
      </c>
      <c r="K101" s="23" t="str">
        <f aca="false">IF(G101="PAGO","OK",IF(D101&gt;0,"⚠ Revisar","-"))</f>
        <v>⚠ Revisar</v>
      </c>
    </row>
    <row r="102" customFormat="false" ht="15" hidden="false" customHeight="false" outlineLevel="0" collapsed="false">
      <c r="A102" s="23" t="str">
        <f aca="false">'Base Despesas'!A102</f>
        <v>Maio</v>
      </c>
      <c r="B102" s="23" t="str">
        <f aca="false">'Base Despesas'!B102</f>
        <v>Licenças / Ferramentas</v>
      </c>
      <c r="C102" s="23" t="str">
        <f aca="false">'Base Despesas'!C102</f>
        <v>Canva</v>
      </c>
      <c r="D102" s="24" t="n">
        <f aca="false">'Base Despesas'!D102</f>
        <v>44.99</v>
      </c>
      <c r="E102" s="23" t="n">
        <f aca="false">'Base Despesas'!E102</f>
        <v>0</v>
      </c>
      <c r="F102" s="23" t="n">
        <f aca="false">'Base Despesas'!F102</f>
        <v>0</v>
      </c>
      <c r="G102" s="23" t="n">
        <f aca="false">'Base Despesas'!G102</f>
        <v>0</v>
      </c>
      <c r="H102" s="23" t="n">
        <f aca="false">'Base Despesas'!H102</f>
        <v>0</v>
      </c>
      <c r="I102" s="23" t="n">
        <f aca="false">'Base Despesas'!I102</f>
        <v>0</v>
      </c>
      <c r="J102" s="23" t="str">
        <f aca="false">IF(OR(B102="Salários e Benefícios",B102="Licenças / Ferramentas",B102="Custos Fixos"),"Fixa","Variável")</f>
        <v>Fixa</v>
      </c>
      <c r="K102" s="23" t="str">
        <f aca="false">IF(G102="PAGO","OK",IF(D102&gt;0,"⚠ Revisar","-"))</f>
        <v>⚠ Revisar</v>
      </c>
    </row>
    <row r="103" customFormat="false" ht="15" hidden="false" customHeight="false" outlineLevel="0" collapsed="false">
      <c r="A103" s="23" t="str">
        <f aca="false">'Base Despesas'!A103</f>
        <v>Janeiro</v>
      </c>
      <c r="B103" s="23" t="str">
        <f aca="false">'Base Despesas'!B103</f>
        <v>Licenças / Ferramentas</v>
      </c>
      <c r="C103" s="23" t="str">
        <f aca="false">'Base Despesas'!C103</f>
        <v>Chat GPT</v>
      </c>
      <c r="D103" s="24" t="n">
        <f aca="false">'Base Despesas'!D103</f>
        <v>118.17</v>
      </c>
      <c r="E103" s="23" t="n">
        <f aca="false">'Base Despesas'!E103</f>
        <v>0</v>
      </c>
      <c r="F103" s="23" t="n">
        <f aca="false">'Base Despesas'!F103</f>
        <v>0</v>
      </c>
      <c r="G103" s="23" t="n">
        <f aca="false">'Base Despesas'!G103</f>
        <v>0</v>
      </c>
      <c r="H103" s="23" t="n">
        <f aca="false">'Base Despesas'!H103</f>
        <v>0</v>
      </c>
      <c r="I103" s="23" t="n">
        <f aca="false">'Base Despesas'!I103</f>
        <v>0</v>
      </c>
      <c r="J103" s="23" t="str">
        <f aca="false">IF(OR(B103="Salários e Benefícios",B103="Licenças / Ferramentas",B103="Custos Fixos"),"Fixa","Variável")</f>
        <v>Fixa</v>
      </c>
      <c r="K103" s="23" t="str">
        <f aca="false">IF(G103="PAGO","OK",IF(D103&gt;0,"⚠ Revisar","-"))</f>
        <v>⚠ Revisar</v>
      </c>
    </row>
    <row r="104" customFormat="false" ht="15" hidden="false" customHeight="false" outlineLevel="0" collapsed="false">
      <c r="A104" s="23" t="str">
        <f aca="false">'Base Despesas'!A104</f>
        <v>Fevereiro</v>
      </c>
      <c r="B104" s="23" t="str">
        <f aca="false">'Base Despesas'!B104</f>
        <v>Licenças / Ferramentas</v>
      </c>
      <c r="C104" s="23" t="str">
        <f aca="false">'Base Despesas'!C104</f>
        <v>Chat GPT</v>
      </c>
      <c r="D104" s="24" t="n">
        <f aca="false">'Base Despesas'!D104</f>
        <v>118.17</v>
      </c>
      <c r="E104" s="23" t="n">
        <f aca="false">'Base Despesas'!E104</f>
        <v>0</v>
      </c>
      <c r="F104" s="23" t="n">
        <f aca="false">'Base Despesas'!F104</f>
        <v>0</v>
      </c>
      <c r="G104" s="23" t="n">
        <f aca="false">'Base Despesas'!G104</f>
        <v>0</v>
      </c>
      <c r="H104" s="23" t="n">
        <f aca="false">'Base Despesas'!H104</f>
        <v>0</v>
      </c>
      <c r="I104" s="23" t="n">
        <f aca="false">'Base Despesas'!I104</f>
        <v>0</v>
      </c>
      <c r="J104" s="23" t="str">
        <f aca="false">IF(OR(B104="Salários e Benefícios",B104="Licenças / Ferramentas",B104="Custos Fixos"),"Fixa","Variável")</f>
        <v>Fixa</v>
      </c>
      <c r="K104" s="23" t="str">
        <f aca="false">IF(G104="PAGO","OK",IF(D104&gt;0,"⚠ Revisar","-"))</f>
        <v>⚠ Revisar</v>
      </c>
    </row>
    <row r="105" customFormat="false" ht="15" hidden="false" customHeight="false" outlineLevel="0" collapsed="false">
      <c r="A105" s="23" t="str">
        <f aca="false">'Base Despesas'!A105</f>
        <v>Março</v>
      </c>
      <c r="B105" s="23" t="str">
        <f aca="false">'Base Despesas'!B105</f>
        <v>Licenças / Ferramentas</v>
      </c>
      <c r="C105" s="23" t="str">
        <f aca="false">'Base Despesas'!C105</f>
        <v>Chat GPT</v>
      </c>
      <c r="D105" s="24" t="n">
        <f aca="false">'Base Despesas'!D105</f>
        <v>118.17</v>
      </c>
      <c r="E105" s="23" t="n">
        <f aca="false">'Base Despesas'!E105</f>
        <v>0</v>
      </c>
      <c r="F105" s="23" t="n">
        <f aca="false">'Base Despesas'!F105</f>
        <v>0</v>
      </c>
      <c r="G105" s="23" t="n">
        <f aca="false">'Base Despesas'!G105</f>
        <v>0</v>
      </c>
      <c r="H105" s="23" t="n">
        <f aca="false">'Base Despesas'!H105</f>
        <v>0</v>
      </c>
      <c r="I105" s="23" t="n">
        <f aca="false">'Base Despesas'!I105</f>
        <v>0</v>
      </c>
      <c r="J105" s="23" t="str">
        <f aca="false">IF(OR(B105="Salários e Benefícios",B105="Licenças / Ferramentas",B105="Custos Fixos"),"Fixa","Variável")</f>
        <v>Fixa</v>
      </c>
      <c r="K105" s="23" t="str">
        <f aca="false">IF(G105="PAGO","OK",IF(D105&gt;0,"⚠ Revisar","-"))</f>
        <v>⚠ Revisar</v>
      </c>
    </row>
    <row r="106" customFormat="false" ht="15" hidden="false" customHeight="false" outlineLevel="0" collapsed="false">
      <c r="A106" s="23" t="str">
        <f aca="false">'Base Despesas'!A106</f>
        <v>Abril</v>
      </c>
      <c r="B106" s="23" t="str">
        <f aca="false">'Base Despesas'!B106</f>
        <v>Licenças / Ferramentas</v>
      </c>
      <c r="C106" s="23" t="str">
        <f aca="false">'Base Despesas'!C106</f>
        <v>Chat GPT</v>
      </c>
      <c r="D106" s="24" t="n">
        <f aca="false">'Base Despesas'!D106</f>
        <v>118.17</v>
      </c>
      <c r="E106" s="23" t="n">
        <f aca="false">'Base Despesas'!E106</f>
        <v>0</v>
      </c>
      <c r="F106" s="23" t="n">
        <f aca="false">'Base Despesas'!F106</f>
        <v>0</v>
      </c>
      <c r="G106" s="23" t="n">
        <f aca="false">'Base Despesas'!G106</f>
        <v>0</v>
      </c>
      <c r="H106" s="23" t="n">
        <f aca="false">'Base Despesas'!H106</f>
        <v>0</v>
      </c>
      <c r="I106" s="23" t="n">
        <f aca="false">'Base Despesas'!I106</f>
        <v>0</v>
      </c>
      <c r="J106" s="23" t="str">
        <f aca="false">IF(OR(B106="Salários e Benefícios",B106="Licenças / Ferramentas",B106="Custos Fixos"),"Fixa","Variável")</f>
        <v>Fixa</v>
      </c>
      <c r="K106" s="23" t="str">
        <f aca="false">IF(G106="PAGO","OK",IF(D106&gt;0,"⚠ Revisar","-"))</f>
        <v>⚠ Revisar</v>
      </c>
    </row>
    <row r="107" customFormat="false" ht="15" hidden="false" customHeight="false" outlineLevel="0" collapsed="false">
      <c r="A107" s="23" t="str">
        <f aca="false">'Base Despesas'!A107</f>
        <v>Maio</v>
      </c>
      <c r="B107" s="23" t="str">
        <f aca="false">'Base Despesas'!B107</f>
        <v>Licenças / Ferramentas</v>
      </c>
      <c r="C107" s="23" t="str">
        <f aca="false">'Base Despesas'!C107</f>
        <v>Chat GPT</v>
      </c>
      <c r="D107" s="24" t="n">
        <f aca="false">'Base Despesas'!D107</f>
        <v>118.17</v>
      </c>
      <c r="E107" s="23" t="n">
        <f aca="false">'Base Despesas'!E107</f>
        <v>0</v>
      </c>
      <c r="F107" s="23" t="n">
        <f aca="false">'Base Despesas'!F107</f>
        <v>0</v>
      </c>
      <c r="G107" s="23" t="n">
        <f aca="false">'Base Despesas'!G107</f>
        <v>0</v>
      </c>
      <c r="H107" s="23" t="n">
        <f aca="false">'Base Despesas'!H107</f>
        <v>0</v>
      </c>
      <c r="I107" s="23" t="n">
        <f aca="false">'Base Despesas'!I107</f>
        <v>0</v>
      </c>
      <c r="J107" s="23" t="str">
        <f aca="false">IF(OR(B107="Salários e Benefícios",B107="Licenças / Ferramentas",B107="Custos Fixos"),"Fixa","Variável")</f>
        <v>Fixa</v>
      </c>
      <c r="K107" s="23" t="str">
        <f aca="false">IF(G107="PAGO","OK",IF(D107&gt;0,"⚠ Revisar","-"))</f>
        <v>⚠ Revisar</v>
      </c>
    </row>
    <row r="108" customFormat="false" ht="15" hidden="false" customHeight="false" outlineLevel="0" collapsed="false">
      <c r="A108" s="23" t="str">
        <f aca="false">'Base Despesas'!A108</f>
        <v>Janeiro</v>
      </c>
      <c r="B108" s="23" t="str">
        <f aca="false">'Base Despesas'!B108</f>
        <v>Licenças / Ferramentas</v>
      </c>
      <c r="C108" s="23" t="str">
        <f aca="false">'Base Despesas'!C108</f>
        <v>Servidor</v>
      </c>
      <c r="D108" s="24" t="n">
        <f aca="false">'Base Despesas'!D108</f>
        <v>896.87</v>
      </c>
      <c r="E108" s="23" t="n">
        <f aca="false">'Base Despesas'!E108</f>
        <v>0</v>
      </c>
      <c r="F108" s="23" t="str">
        <f aca="false">'Base Despesas'!F108</f>
        <v>Boleto</v>
      </c>
      <c r="G108" s="23" t="str">
        <f aca="false">'Base Despesas'!G108</f>
        <v>PAGO</v>
      </c>
      <c r="H108" s="23" t="n">
        <f aca="false">'Base Despesas'!H108</f>
        <v>0</v>
      </c>
      <c r="I108" s="23" t="n">
        <f aca="false">'Base Despesas'!I108</f>
        <v>0</v>
      </c>
      <c r="J108" s="23" t="str">
        <f aca="false">IF(OR(B108="Salários e Benefícios",B108="Licenças / Ferramentas",B108="Custos Fixos"),"Fixa","Variável")</f>
        <v>Fixa</v>
      </c>
      <c r="K108" s="23" t="str">
        <f aca="false">IF(G108="PAGO","OK",IF(D108&gt;0,"⚠ Revisar","-"))</f>
        <v>OK</v>
      </c>
    </row>
    <row r="109" customFormat="false" ht="15" hidden="false" customHeight="false" outlineLevel="0" collapsed="false">
      <c r="A109" s="23" t="str">
        <f aca="false">'Base Despesas'!A109</f>
        <v>Fevereiro</v>
      </c>
      <c r="B109" s="23" t="str">
        <f aca="false">'Base Despesas'!B109</f>
        <v>Licenças / Ferramentas</v>
      </c>
      <c r="C109" s="23" t="str">
        <f aca="false">'Base Despesas'!C109</f>
        <v>Servidor</v>
      </c>
      <c r="D109" s="24" t="n">
        <f aca="false">'Base Despesas'!D109</f>
        <v>1162.89</v>
      </c>
      <c r="E109" s="23" t="n">
        <f aca="false">'Base Despesas'!E109</f>
        <v>9</v>
      </c>
      <c r="F109" s="23" t="n">
        <f aca="false">'Base Despesas'!F109</f>
        <v>0</v>
      </c>
      <c r="G109" s="23" t="str">
        <f aca="false">'Base Despesas'!G109</f>
        <v>PAGO</v>
      </c>
      <c r="H109" s="23" t="n">
        <f aca="false">'Base Despesas'!H109</f>
        <v>0</v>
      </c>
      <c r="I109" s="23" t="n">
        <f aca="false">'Base Despesas'!I109</f>
        <v>0</v>
      </c>
      <c r="J109" s="23" t="str">
        <f aca="false">IF(OR(B109="Salários e Benefícios",B109="Licenças / Ferramentas",B109="Custos Fixos"),"Fixa","Variável")</f>
        <v>Fixa</v>
      </c>
      <c r="K109" s="23" t="str">
        <f aca="false">IF(G109="PAGO","OK",IF(D109&gt;0,"⚠ Revisar","-"))</f>
        <v>OK</v>
      </c>
    </row>
    <row r="110" customFormat="false" ht="15" hidden="false" customHeight="false" outlineLevel="0" collapsed="false">
      <c r="A110" s="23" t="str">
        <f aca="false">'Base Despesas'!A110</f>
        <v>Março</v>
      </c>
      <c r="B110" s="23" t="str">
        <f aca="false">'Base Despesas'!B110</f>
        <v>Licenças / Ferramentas</v>
      </c>
      <c r="C110" s="23" t="str">
        <f aca="false">'Base Despesas'!C110</f>
        <v>Servidor</v>
      </c>
      <c r="D110" s="24" t="n">
        <f aca="false">'Base Despesas'!D110</f>
        <v>1592.99</v>
      </c>
      <c r="E110" s="23" t="n">
        <f aca="false">'Base Despesas'!E110</f>
        <v>0</v>
      </c>
      <c r="F110" s="23" t="n">
        <f aca="false">'Base Despesas'!F110</f>
        <v>0</v>
      </c>
      <c r="G110" s="23" t="n">
        <f aca="false">'Base Despesas'!G110</f>
        <v>0</v>
      </c>
      <c r="H110" s="23" t="n">
        <f aca="false">'Base Despesas'!H110</f>
        <v>0</v>
      </c>
      <c r="I110" s="23" t="n">
        <f aca="false">'Base Despesas'!I110</f>
        <v>0</v>
      </c>
      <c r="J110" s="23" t="str">
        <f aca="false">IF(OR(B110="Salários e Benefícios",B110="Licenças / Ferramentas",B110="Custos Fixos"),"Fixa","Variável")</f>
        <v>Fixa</v>
      </c>
      <c r="K110" s="23" t="str">
        <f aca="false">IF(G110="PAGO","OK",IF(D110&gt;0,"⚠ Revisar","-"))</f>
        <v>⚠ Revisar</v>
      </c>
    </row>
    <row r="111" customFormat="false" ht="15" hidden="false" customHeight="false" outlineLevel="0" collapsed="false">
      <c r="A111" s="23" t="str">
        <f aca="false">'Base Despesas'!A111</f>
        <v>Abril</v>
      </c>
      <c r="B111" s="23" t="str">
        <f aca="false">'Base Despesas'!B111</f>
        <v>Licenças / Ferramentas</v>
      </c>
      <c r="C111" s="23" t="str">
        <f aca="false">'Base Despesas'!C111</f>
        <v>Servidor</v>
      </c>
      <c r="D111" s="24" t="n">
        <f aca="false">'Base Despesas'!D111</f>
        <v>1592.99</v>
      </c>
      <c r="E111" s="23" t="n">
        <f aca="false">'Base Despesas'!E111</f>
        <v>0</v>
      </c>
      <c r="F111" s="23" t="n">
        <f aca="false">'Base Despesas'!F111</f>
        <v>0</v>
      </c>
      <c r="G111" s="23" t="n">
        <f aca="false">'Base Despesas'!G111</f>
        <v>0</v>
      </c>
      <c r="H111" s="23" t="n">
        <f aca="false">'Base Despesas'!H111</f>
        <v>0</v>
      </c>
      <c r="I111" s="23" t="n">
        <f aca="false">'Base Despesas'!I111</f>
        <v>0</v>
      </c>
      <c r="J111" s="23" t="str">
        <f aca="false">IF(OR(B111="Salários e Benefícios",B111="Licenças / Ferramentas",B111="Custos Fixos"),"Fixa","Variável")</f>
        <v>Fixa</v>
      </c>
      <c r="K111" s="23" t="str">
        <f aca="false">IF(G111="PAGO","OK",IF(D111&gt;0,"⚠ Revisar","-"))</f>
        <v>⚠ Revisar</v>
      </c>
    </row>
    <row r="112" customFormat="false" ht="15" hidden="false" customHeight="false" outlineLevel="0" collapsed="false">
      <c r="A112" s="23" t="str">
        <f aca="false">'Base Despesas'!A112</f>
        <v>Maio</v>
      </c>
      <c r="B112" s="23" t="str">
        <f aca="false">'Base Despesas'!B112</f>
        <v>Licenças / Ferramentas</v>
      </c>
      <c r="C112" s="23" t="str">
        <f aca="false">'Base Despesas'!C112</f>
        <v>Servidor</v>
      </c>
      <c r="D112" s="24" t="n">
        <f aca="false">'Base Despesas'!D112</f>
        <v>1592.99</v>
      </c>
      <c r="E112" s="23" t="n">
        <f aca="false">'Base Despesas'!E112</f>
        <v>0</v>
      </c>
      <c r="F112" s="23" t="n">
        <f aca="false">'Base Despesas'!F112</f>
        <v>0</v>
      </c>
      <c r="G112" s="23" t="n">
        <f aca="false">'Base Despesas'!G112</f>
        <v>0</v>
      </c>
      <c r="H112" s="23" t="n">
        <f aca="false">'Base Despesas'!H112</f>
        <v>0</v>
      </c>
      <c r="I112" s="23" t="n">
        <f aca="false">'Base Despesas'!I112</f>
        <v>0</v>
      </c>
      <c r="J112" s="23" t="str">
        <f aca="false">IF(OR(B112="Salários e Benefícios",B112="Licenças / Ferramentas",B112="Custos Fixos"),"Fixa","Variável")</f>
        <v>Fixa</v>
      </c>
      <c r="K112" s="23" t="str">
        <f aca="false">IF(G112="PAGO","OK",IF(D112&gt;0,"⚠ Revisar","-"))</f>
        <v>⚠ Revisar</v>
      </c>
    </row>
    <row r="113" customFormat="false" ht="15" hidden="false" customHeight="false" outlineLevel="0" collapsed="false">
      <c r="A113" s="23" t="str">
        <f aca="false">'Base Despesas'!A113</f>
        <v>Janeiro</v>
      </c>
      <c r="B113" s="23" t="str">
        <f aca="false">'Base Despesas'!B113</f>
        <v>Marketing / Publicidade</v>
      </c>
      <c r="C113" s="23" t="str">
        <f aca="false">'Base Despesas'!C113</f>
        <v>Meta Ads - Anúncio</v>
      </c>
      <c r="D113" s="24" t="n">
        <f aca="false">'Base Despesas'!D113</f>
        <v>1000</v>
      </c>
      <c r="E113" s="23" t="n">
        <f aca="false">'Base Despesas'!E113</f>
        <v>0</v>
      </c>
      <c r="F113" s="23" t="n">
        <f aca="false">'Base Despesas'!F113</f>
        <v>0</v>
      </c>
      <c r="G113" s="23" t="str">
        <f aca="false">'Base Despesas'!G113</f>
        <v>PAGO</v>
      </c>
      <c r="H113" s="23" t="n">
        <f aca="false">'Base Despesas'!H113</f>
        <v>0</v>
      </c>
      <c r="I113" s="23" t="n">
        <f aca="false">'Base Despesas'!I113</f>
        <v>0</v>
      </c>
      <c r="J113" s="23" t="str">
        <f aca="false">IF(OR(B113="Salários e Benefícios",B113="Licenças / Ferramentas",B113="Custos Fixos"),"Fixa","Variável")</f>
        <v>Variável</v>
      </c>
      <c r="K113" s="23" t="str">
        <f aca="false">IF(G113="PAGO","OK",IF(D113&gt;0,"⚠ Revisar","-"))</f>
        <v>OK</v>
      </c>
    </row>
    <row r="114" customFormat="false" ht="15" hidden="false" customHeight="false" outlineLevel="0" collapsed="false">
      <c r="A114" s="23" t="str">
        <f aca="false">'Base Despesas'!A114</f>
        <v>Fevereiro</v>
      </c>
      <c r="B114" s="23" t="str">
        <f aca="false">'Base Despesas'!B114</f>
        <v>Marketing / Publicidade</v>
      </c>
      <c r="C114" s="23" t="str">
        <f aca="false">'Base Despesas'!C114</f>
        <v>Meta Ads - Anúncio</v>
      </c>
      <c r="D114" s="24" t="n">
        <f aca="false">'Base Despesas'!D114</f>
        <v>1000</v>
      </c>
      <c r="E114" s="23" t="n">
        <f aca="false">'Base Despesas'!E114</f>
        <v>0</v>
      </c>
      <c r="F114" s="23" t="n">
        <f aca="false">'Base Despesas'!F114</f>
        <v>0</v>
      </c>
      <c r="G114" s="23" t="n">
        <f aca="false">'Base Despesas'!G114</f>
        <v>0</v>
      </c>
      <c r="H114" s="23" t="n">
        <f aca="false">'Base Despesas'!H114</f>
        <v>0</v>
      </c>
      <c r="I114" s="23" t="n">
        <f aca="false">'Base Despesas'!I114</f>
        <v>0</v>
      </c>
      <c r="J114" s="23" t="str">
        <f aca="false">IF(OR(B114="Salários e Benefícios",B114="Licenças / Ferramentas",B114="Custos Fixos"),"Fixa","Variável")</f>
        <v>Variável</v>
      </c>
      <c r="K114" s="23" t="str">
        <f aca="false">IF(G114="PAGO","OK",IF(D114&gt;0,"⚠ Revisar","-"))</f>
        <v>⚠ Revisar</v>
      </c>
    </row>
    <row r="115" customFormat="false" ht="15" hidden="false" customHeight="false" outlineLevel="0" collapsed="false">
      <c r="A115" s="23" t="str">
        <f aca="false">'Base Despesas'!A115</f>
        <v>Março</v>
      </c>
      <c r="B115" s="23" t="str">
        <f aca="false">'Base Despesas'!B115</f>
        <v>Marketing / Publicidade</v>
      </c>
      <c r="C115" s="23" t="str">
        <f aca="false">'Base Despesas'!C115</f>
        <v>Meta Ads - Anúncio</v>
      </c>
      <c r="D115" s="24" t="n">
        <f aca="false">'Base Despesas'!D115</f>
        <v>1000</v>
      </c>
      <c r="E115" s="23" t="n">
        <f aca="false">'Base Despesas'!E115</f>
        <v>0</v>
      </c>
      <c r="F115" s="23" t="n">
        <f aca="false">'Base Despesas'!F115</f>
        <v>0</v>
      </c>
      <c r="G115" s="23" t="n">
        <f aca="false">'Base Despesas'!G115</f>
        <v>0</v>
      </c>
      <c r="H115" s="23" t="n">
        <f aca="false">'Base Despesas'!H115</f>
        <v>0</v>
      </c>
      <c r="I115" s="23" t="n">
        <f aca="false">'Base Despesas'!I115</f>
        <v>0</v>
      </c>
      <c r="J115" s="23" t="str">
        <f aca="false">IF(OR(B115="Salários e Benefícios",B115="Licenças / Ferramentas",B115="Custos Fixos"),"Fixa","Variável")</f>
        <v>Variável</v>
      </c>
      <c r="K115" s="23" t="str">
        <f aca="false">IF(G115="PAGO","OK",IF(D115&gt;0,"⚠ Revisar","-"))</f>
        <v>⚠ Revisar</v>
      </c>
    </row>
    <row r="116" customFormat="false" ht="15" hidden="false" customHeight="false" outlineLevel="0" collapsed="false">
      <c r="A116" s="23" t="str">
        <f aca="false">'Base Despesas'!A116</f>
        <v>Abril</v>
      </c>
      <c r="B116" s="23" t="str">
        <f aca="false">'Base Despesas'!B116</f>
        <v>Marketing / Publicidade</v>
      </c>
      <c r="C116" s="23" t="str">
        <f aca="false">'Base Despesas'!C116</f>
        <v>Meta Ads - Anúncio</v>
      </c>
      <c r="D116" s="24" t="n">
        <f aca="false">'Base Despesas'!D116</f>
        <v>1000</v>
      </c>
      <c r="E116" s="23" t="n">
        <f aca="false">'Base Despesas'!E116</f>
        <v>0</v>
      </c>
      <c r="F116" s="23" t="n">
        <f aca="false">'Base Despesas'!F116</f>
        <v>0</v>
      </c>
      <c r="G116" s="23" t="n">
        <f aca="false">'Base Despesas'!G116</f>
        <v>0</v>
      </c>
      <c r="H116" s="23" t="n">
        <f aca="false">'Base Despesas'!H116</f>
        <v>0</v>
      </c>
      <c r="I116" s="23" t="n">
        <f aca="false">'Base Despesas'!I116</f>
        <v>0</v>
      </c>
      <c r="J116" s="23" t="str">
        <f aca="false">IF(OR(B116="Salários e Benefícios",B116="Licenças / Ferramentas",B116="Custos Fixos"),"Fixa","Variável")</f>
        <v>Variável</v>
      </c>
      <c r="K116" s="23" t="str">
        <f aca="false">IF(G116="PAGO","OK",IF(D116&gt;0,"⚠ Revisar","-"))</f>
        <v>⚠ Revisar</v>
      </c>
    </row>
    <row r="117" customFormat="false" ht="15" hidden="false" customHeight="false" outlineLevel="0" collapsed="false">
      <c r="A117" s="23" t="str">
        <f aca="false">'Base Despesas'!A117</f>
        <v>Maio</v>
      </c>
      <c r="B117" s="23" t="str">
        <f aca="false">'Base Despesas'!B117</f>
        <v>Marketing / Publicidade</v>
      </c>
      <c r="C117" s="23" t="str">
        <f aca="false">'Base Despesas'!C117</f>
        <v>Meta Ads - Anúncio</v>
      </c>
      <c r="D117" s="24" t="n">
        <f aca="false">'Base Despesas'!D117</f>
        <v>1000</v>
      </c>
      <c r="E117" s="23" t="n">
        <f aca="false">'Base Despesas'!E117</f>
        <v>0</v>
      </c>
      <c r="F117" s="23" t="n">
        <f aca="false">'Base Despesas'!F117</f>
        <v>0</v>
      </c>
      <c r="G117" s="23" t="n">
        <f aca="false">'Base Despesas'!G117</f>
        <v>0</v>
      </c>
      <c r="H117" s="23" t="n">
        <f aca="false">'Base Despesas'!H117</f>
        <v>0</v>
      </c>
      <c r="I117" s="23" t="n">
        <f aca="false">'Base Despesas'!I117</f>
        <v>0</v>
      </c>
      <c r="J117" s="23" t="str">
        <f aca="false">IF(OR(B117="Salários e Benefícios",B117="Licenças / Ferramentas",B117="Custos Fixos"),"Fixa","Variável")</f>
        <v>Variável</v>
      </c>
      <c r="K117" s="23" t="str">
        <f aca="false">IF(G117="PAGO","OK",IF(D117&gt;0,"⚠ Revisar","-"))</f>
        <v>⚠ Revisar</v>
      </c>
    </row>
    <row r="118" customFormat="false" ht="15" hidden="false" customHeight="false" outlineLevel="0" collapsed="false">
      <c r="A118" s="23" t="str">
        <f aca="false">'Base Despesas'!A118</f>
        <v>Janeiro</v>
      </c>
      <c r="B118" s="23" t="str">
        <f aca="false">'Base Despesas'!B118</f>
        <v>Marketing / Publicidade</v>
      </c>
      <c r="C118" s="23" t="str">
        <f aca="false">'Base Despesas'!C118</f>
        <v>Google Ads</v>
      </c>
      <c r="D118" s="24" t="n">
        <f aca="false">'Base Despesas'!D118</f>
        <v>2500</v>
      </c>
      <c r="E118" s="23" t="n">
        <f aca="false">'Base Despesas'!E118</f>
        <v>0</v>
      </c>
      <c r="F118" s="23" t="n">
        <f aca="false">'Base Despesas'!F118</f>
        <v>0</v>
      </c>
      <c r="G118" s="23" t="n">
        <f aca="false">'Base Despesas'!G118</f>
        <v>0</v>
      </c>
      <c r="H118" s="23" t="n">
        <f aca="false">'Base Despesas'!H118</f>
        <v>0</v>
      </c>
      <c r="I118" s="23" t="n">
        <f aca="false">'Base Despesas'!I118</f>
        <v>0</v>
      </c>
      <c r="J118" s="23" t="str">
        <f aca="false">IF(OR(B118="Salários e Benefícios",B118="Licenças / Ferramentas",B118="Custos Fixos"),"Fixa","Variável")</f>
        <v>Variável</v>
      </c>
      <c r="K118" s="23" t="str">
        <f aca="false">IF(G118="PAGO","OK",IF(D118&gt;0,"⚠ Revisar","-"))</f>
        <v>⚠ Revisar</v>
      </c>
    </row>
    <row r="119" customFormat="false" ht="15" hidden="false" customHeight="false" outlineLevel="0" collapsed="false">
      <c r="A119" s="23" t="str">
        <f aca="false">'Base Despesas'!A119</f>
        <v>Fevereiro</v>
      </c>
      <c r="B119" s="23" t="str">
        <f aca="false">'Base Despesas'!B119</f>
        <v>Marketing / Publicidade</v>
      </c>
      <c r="C119" s="23" t="str">
        <f aca="false">'Base Despesas'!C119</f>
        <v>Google Ads</v>
      </c>
      <c r="D119" s="24" t="n">
        <f aca="false">'Base Despesas'!D119</f>
        <v>2500</v>
      </c>
      <c r="E119" s="23" t="n">
        <f aca="false">'Base Despesas'!E119</f>
        <v>0</v>
      </c>
      <c r="F119" s="23" t="n">
        <f aca="false">'Base Despesas'!F119</f>
        <v>0</v>
      </c>
      <c r="G119" s="23" t="n">
        <f aca="false">'Base Despesas'!G119</f>
        <v>0</v>
      </c>
      <c r="H119" s="23" t="n">
        <f aca="false">'Base Despesas'!H119</f>
        <v>0</v>
      </c>
      <c r="I119" s="23" t="n">
        <f aca="false">'Base Despesas'!I119</f>
        <v>0</v>
      </c>
      <c r="J119" s="23" t="str">
        <f aca="false">IF(OR(B119="Salários e Benefícios",B119="Licenças / Ferramentas",B119="Custos Fixos"),"Fixa","Variável")</f>
        <v>Variável</v>
      </c>
      <c r="K119" s="23" t="str">
        <f aca="false">IF(G119="PAGO","OK",IF(D119&gt;0,"⚠ Revisar","-"))</f>
        <v>⚠ Revisar</v>
      </c>
    </row>
    <row r="120" customFormat="false" ht="15" hidden="false" customHeight="false" outlineLevel="0" collapsed="false">
      <c r="A120" s="23" t="str">
        <f aca="false">'Base Despesas'!A120</f>
        <v>Março</v>
      </c>
      <c r="B120" s="23" t="str">
        <f aca="false">'Base Despesas'!B120</f>
        <v>Marketing / Publicidade</v>
      </c>
      <c r="C120" s="23" t="str">
        <f aca="false">'Base Despesas'!C120</f>
        <v>Google Ads</v>
      </c>
      <c r="D120" s="24" t="n">
        <f aca="false">'Base Despesas'!D120</f>
        <v>2500</v>
      </c>
      <c r="E120" s="23" t="n">
        <f aca="false">'Base Despesas'!E120</f>
        <v>0</v>
      </c>
      <c r="F120" s="23" t="n">
        <f aca="false">'Base Despesas'!F120</f>
        <v>0</v>
      </c>
      <c r="G120" s="23" t="n">
        <f aca="false">'Base Despesas'!G120</f>
        <v>0</v>
      </c>
      <c r="H120" s="23" t="n">
        <f aca="false">'Base Despesas'!H120</f>
        <v>0</v>
      </c>
      <c r="I120" s="23" t="n">
        <f aca="false">'Base Despesas'!I120</f>
        <v>0</v>
      </c>
      <c r="J120" s="23" t="str">
        <f aca="false">IF(OR(B120="Salários e Benefícios",B120="Licenças / Ferramentas",B120="Custos Fixos"),"Fixa","Variável")</f>
        <v>Variável</v>
      </c>
      <c r="K120" s="23" t="str">
        <f aca="false">IF(G120="PAGO","OK",IF(D120&gt;0,"⚠ Revisar","-"))</f>
        <v>⚠ Revisar</v>
      </c>
    </row>
    <row r="121" customFormat="false" ht="15" hidden="false" customHeight="false" outlineLevel="0" collapsed="false">
      <c r="A121" s="23" t="str">
        <f aca="false">'Base Despesas'!A121</f>
        <v>Abril</v>
      </c>
      <c r="B121" s="23" t="str">
        <f aca="false">'Base Despesas'!B121</f>
        <v>Marketing / Publicidade</v>
      </c>
      <c r="C121" s="23" t="str">
        <f aca="false">'Base Despesas'!C121</f>
        <v>Google Ads</v>
      </c>
      <c r="D121" s="24" t="n">
        <f aca="false">'Base Despesas'!D121</f>
        <v>2500</v>
      </c>
      <c r="E121" s="23" t="n">
        <f aca="false">'Base Despesas'!E121</f>
        <v>0</v>
      </c>
      <c r="F121" s="23" t="n">
        <f aca="false">'Base Despesas'!F121</f>
        <v>0</v>
      </c>
      <c r="G121" s="23" t="n">
        <f aca="false">'Base Despesas'!G121</f>
        <v>0</v>
      </c>
      <c r="H121" s="23" t="n">
        <f aca="false">'Base Despesas'!H121</f>
        <v>0</v>
      </c>
      <c r="I121" s="23" t="n">
        <f aca="false">'Base Despesas'!I121</f>
        <v>0</v>
      </c>
      <c r="J121" s="23" t="str">
        <f aca="false">IF(OR(B121="Salários e Benefícios",B121="Licenças / Ferramentas",B121="Custos Fixos"),"Fixa","Variável")</f>
        <v>Variável</v>
      </c>
      <c r="K121" s="23" t="str">
        <f aca="false">IF(G121="PAGO","OK",IF(D121&gt;0,"⚠ Revisar","-"))</f>
        <v>⚠ Revisar</v>
      </c>
    </row>
    <row r="122" customFormat="false" ht="15" hidden="false" customHeight="false" outlineLevel="0" collapsed="false">
      <c r="A122" s="23" t="str">
        <f aca="false">'Base Despesas'!A122</f>
        <v>Maio</v>
      </c>
      <c r="B122" s="23" t="str">
        <f aca="false">'Base Despesas'!B122</f>
        <v>Marketing / Publicidade</v>
      </c>
      <c r="C122" s="23" t="str">
        <f aca="false">'Base Despesas'!C122</f>
        <v>Google Ads</v>
      </c>
      <c r="D122" s="24" t="n">
        <f aca="false">'Base Despesas'!D122</f>
        <v>2500</v>
      </c>
      <c r="E122" s="23" t="n">
        <f aca="false">'Base Despesas'!E122</f>
        <v>0</v>
      </c>
      <c r="F122" s="23" t="n">
        <f aca="false">'Base Despesas'!F122</f>
        <v>0</v>
      </c>
      <c r="G122" s="23" t="n">
        <f aca="false">'Base Despesas'!G122</f>
        <v>0</v>
      </c>
      <c r="H122" s="23" t="n">
        <f aca="false">'Base Despesas'!H122</f>
        <v>0</v>
      </c>
      <c r="I122" s="23" t="n">
        <f aca="false">'Base Despesas'!I122</f>
        <v>0</v>
      </c>
      <c r="J122" s="23" t="str">
        <f aca="false">IF(OR(B122="Salários e Benefícios",B122="Licenças / Ferramentas",B122="Custos Fixos"),"Fixa","Variável")</f>
        <v>Variável</v>
      </c>
      <c r="K122" s="23" t="str">
        <f aca="false">IF(G122="PAGO","OK",IF(D122&gt;0,"⚠ Revisar","-"))</f>
        <v>⚠ Revisar</v>
      </c>
    </row>
    <row r="123" customFormat="false" ht="15" hidden="false" customHeight="false" outlineLevel="0" collapsed="false">
      <c r="A123" s="23" t="str">
        <f aca="false">'Base Despesas'!A123</f>
        <v>Janeiro</v>
      </c>
      <c r="B123" s="23" t="str">
        <f aca="false">'Base Despesas'!B123</f>
        <v>Materiais / Estrutura</v>
      </c>
      <c r="C123" s="23" t="str">
        <f aca="false">'Base Despesas'!C123</f>
        <v>Computador 12 parcelas</v>
      </c>
      <c r="D123" s="24" t="n">
        <f aca="false">'Base Despesas'!D123</f>
        <v>220.75</v>
      </c>
      <c r="E123" s="23" t="n">
        <f aca="false">'Base Despesas'!E123</f>
        <v>25</v>
      </c>
      <c r="F123" s="23" t="n">
        <f aca="false">'Base Despesas'!F123</f>
        <v>0</v>
      </c>
      <c r="G123" s="23" t="n">
        <f aca="false">'Base Despesas'!G123</f>
        <v>0</v>
      </c>
      <c r="H123" s="23" t="str">
        <f aca="false">'Base Despesas'!H123</f>
        <v>11° PARCELA</v>
      </c>
      <c r="I123" s="23" t="n">
        <f aca="false">'Base Despesas'!I123</f>
        <v>0</v>
      </c>
      <c r="J123" s="23" t="str">
        <f aca="false">IF(OR(B123="Salários e Benefícios",B123="Licenças / Ferramentas",B123="Custos Fixos"),"Fixa","Variável")</f>
        <v>Variável</v>
      </c>
      <c r="K123" s="23" t="str">
        <f aca="false">IF(G123="PAGO","OK",IF(D123&gt;0,"⚠ Revisar","-"))</f>
        <v>⚠ Revisar</v>
      </c>
    </row>
    <row r="124" customFormat="false" ht="15" hidden="false" customHeight="false" outlineLevel="0" collapsed="false">
      <c r="A124" s="23" t="str">
        <f aca="false">'Base Despesas'!A124</f>
        <v>Fevereiro</v>
      </c>
      <c r="B124" s="23" t="str">
        <f aca="false">'Base Despesas'!B124</f>
        <v>Materiais / Estrutura</v>
      </c>
      <c r="C124" s="23" t="str">
        <f aca="false">'Base Despesas'!C124</f>
        <v>Computador 12 parcelas</v>
      </c>
      <c r="D124" s="24" t="n">
        <f aca="false">'Base Despesas'!D124</f>
        <v>220.75</v>
      </c>
      <c r="E124" s="23" t="n">
        <f aca="false">'Base Despesas'!E124</f>
        <v>25</v>
      </c>
      <c r="F124" s="23" t="str">
        <f aca="false">'Base Despesas'!F124</f>
        <v>Pix</v>
      </c>
      <c r="G124" s="23" t="n">
        <f aca="false">'Base Despesas'!G124</f>
        <v>0</v>
      </c>
      <c r="H124" s="23" t="str">
        <f aca="false">'Base Despesas'!H124</f>
        <v>12° PARCELA</v>
      </c>
      <c r="I124" s="23" t="n">
        <f aca="false">'Base Despesas'!I124</f>
        <v>0</v>
      </c>
      <c r="J124" s="23" t="str">
        <f aca="false">IF(OR(B124="Salários e Benefícios",B124="Licenças / Ferramentas",B124="Custos Fixos"),"Fixa","Variável")</f>
        <v>Variável</v>
      </c>
      <c r="K124" s="23" t="str">
        <f aca="false">IF(G124="PAGO","OK",IF(D124&gt;0,"⚠ Revisar","-"))</f>
        <v>⚠ Revisar</v>
      </c>
    </row>
    <row r="125" customFormat="false" ht="15" hidden="false" customHeight="false" outlineLevel="0" collapsed="false">
      <c r="A125" s="23" t="str">
        <f aca="false">'Base Despesas'!A125</f>
        <v>Janeiro</v>
      </c>
      <c r="B125" s="23" t="str">
        <f aca="false">'Base Despesas'!B125</f>
        <v>Custos Fixos</v>
      </c>
      <c r="C125" s="23" t="str">
        <f aca="false">'Base Despesas'!C125</f>
        <v>Aluguel</v>
      </c>
      <c r="D125" s="24" t="n">
        <f aca="false">'Base Despesas'!D125</f>
        <v>1639.98</v>
      </c>
      <c r="E125" s="23" t="n">
        <f aca="false">'Base Despesas'!E125</f>
        <v>5</v>
      </c>
      <c r="F125" s="23" t="str">
        <f aca="false">'Base Despesas'!F125</f>
        <v>Boleto</v>
      </c>
      <c r="G125" s="23" t="str">
        <f aca="false">'Base Despesas'!G125</f>
        <v>PAGO</v>
      </c>
      <c r="H125" s="23" t="str">
        <f aca="false">'Base Despesas'!H125</f>
        <v>À VISTA</v>
      </c>
      <c r="I125" s="35" t="n">
        <f aca="false">'Base Despesas'!I125</f>
        <v>45992</v>
      </c>
      <c r="J125" s="23" t="str">
        <f aca="false">IF(OR(B125="Salários e Benefícios",B125="Licenças / Ferramentas",B125="Custos Fixos"),"Fixa","Variável")</f>
        <v>Fixa</v>
      </c>
      <c r="K125" s="23" t="str">
        <f aca="false">IF(G125="PAGO","OK",IF(D125&gt;0,"⚠ Revisar","-"))</f>
        <v>OK</v>
      </c>
    </row>
    <row r="126" customFormat="false" ht="15" hidden="false" customHeight="false" outlineLevel="0" collapsed="false">
      <c r="A126" s="23" t="str">
        <f aca="false">'Base Despesas'!A126</f>
        <v>Fevereiro</v>
      </c>
      <c r="B126" s="23" t="str">
        <f aca="false">'Base Despesas'!B126</f>
        <v>Custos Fixos</v>
      </c>
      <c r="C126" s="23" t="str">
        <f aca="false">'Base Despesas'!C126</f>
        <v>Aluguel</v>
      </c>
      <c r="D126" s="24" t="n">
        <f aca="false">'Base Despesas'!D126</f>
        <v>1938.41</v>
      </c>
      <c r="E126" s="23" t="n">
        <f aca="false">'Base Despesas'!E126</f>
        <v>5</v>
      </c>
      <c r="F126" s="23" t="str">
        <f aca="false">'Base Despesas'!F126</f>
        <v>Boleto</v>
      </c>
      <c r="G126" s="23" t="str">
        <f aca="false">'Base Despesas'!G126</f>
        <v>PAGO</v>
      </c>
      <c r="H126" s="23" t="str">
        <f aca="false">'Base Despesas'!H126</f>
        <v>À VISTA</v>
      </c>
      <c r="I126" s="35" t="n">
        <f aca="false">'Base Despesas'!I126</f>
        <v>46023</v>
      </c>
      <c r="J126" s="23" t="str">
        <f aca="false">IF(OR(B126="Salários e Benefícios",B126="Licenças / Ferramentas",B126="Custos Fixos"),"Fixa","Variável")</f>
        <v>Fixa</v>
      </c>
      <c r="K126" s="23" t="str">
        <f aca="false">IF(G126="PAGO","OK",IF(D126&gt;0,"⚠ Revisar","-"))</f>
        <v>OK</v>
      </c>
    </row>
    <row r="127" customFormat="false" ht="15" hidden="false" customHeight="false" outlineLevel="0" collapsed="false">
      <c r="A127" s="23" t="str">
        <f aca="false">'Base Despesas'!A127</f>
        <v>Março</v>
      </c>
      <c r="B127" s="23" t="str">
        <f aca="false">'Base Despesas'!B127</f>
        <v>Custos Fixos</v>
      </c>
      <c r="C127" s="23" t="str">
        <f aca="false">'Base Despesas'!C127</f>
        <v>Aluguel</v>
      </c>
      <c r="D127" s="24" t="n">
        <f aca="false">'Base Despesas'!D127</f>
        <v>1938.41</v>
      </c>
      <c r="E127" s="23" t="n">
        <f aca="false">'Base Despesas'!E127</f>
        <v>5</v>
      </c>
      <c r="F127" s="23" t="n">
        <f aca="false">'Base Despesas'!F127</f>
        <v>0</v>
      </c>
      <c r="G127" s="23" t="n">
        <f aca="false">'Base Despesas'!G127</f>
        <v>0</v>
      </c>
      <c r="H127" s="23" t="n">
        <f aca="false">'Base Despesas'!H127</f>
        <v>0</v>
      </c>
      <c r="I127" s="23" t="n">
        <f aca="false">'Base Despesas'!I127</f>
        <v>0</v>
      </c>
      <c r="J127" s="23" t="str">
        <f aca="false">IF(OR(B127="Salários e Benefícios",B127="Licenças / Ferramentas",B127="Custos Fixos"),"Fixa","Variável")</f>
        <v>Fixa</v>
      </c>
      <c r="K127" s="23" t="str">
        <f aca="false">IF(G127="PAGO","OK",IF(D127&gt;0,"⚠ Revisar","-"))</f>
        <v>⚠ Revisar</v>
      </c>
    </row>
    <row r="128" customFormat="false" ht="15" hidden="false" customHeight="false" outlineLevel="0" collapsed="false">
      <c r="A128" s="23" t="str">
        <f aca="false">'Base Despesas'!A128</f>
        <v>Abril</v>
      </c>
      <c r="B128" s="23" t="str">
        <f aca="false">'Base Despesas'!B128</f>
        <v>Custos Fixos</v>
      </c>
      <c r="C128" s="23" t="str">
        <f aca="false">'Base Despesas'!C128</f>
        <v>Aluguel</v>
      </c>
      <c r="D128" s="24" t="n">
        <f aca="false">'Base Despesas'!D128</f>
        <v>1938.41</v>
      </c>
      <c r="E128" s="23" t="n">
        <f aca="false">'Base Despesas'!E128</f>
        <v>5</v>
      </c>
      <c r="F128" s="23" t="n">
        <f aca="false">'Base Despesas'!F128</f>
        <v>0</v>
      </c>
      <c r="G128" s="23" t="n">
        <f aca="false">'Base Despesas'!G128</f>
        <v>0</v>
      </c>
      <c r="H128" s="23" t="str">
        <f aca="false">'Base Despesas'!H128</f>
        <v>À VISTA</v>
      </c>
      <c r="I128" s="23" t="n">
        <f aca="false">'Base Despesas'!I128</f>
        <v>0</v>
      </c>
      <c r="J128" s="23" t="str">
        <f aca="false">IF(OR(B128="Salários e Benefícios",B128="Licenças / Ferramentas",B128="Custos Fixos"),"Fixa","Variável")</f>
        <v>Fixa</v>
      </c>
      <c r="K128" s="23" t="str">
        <f aca="false">IF(G128="PAGO","OK",IF(D128&gt;0,"⚠ Revisar","-"))</f>
        <v>⚠ Revisar</v>
      </c>
    </row>
    <row r="129" customFormat="false" ht="15" hidden="false" customHeight="false" outlineLevel="0" collapsed="false">
      <c r="A129" s="23" t="str">
        <f aca="false">'Base Despesas'!A129</f>
        <v>Maio</v>
      </c>
      <c r="B129" s="23" t="str">
        <f aca="false">'Base Despesas'!B129</f>
        <v>Custos Fixos</v>
      </c>
      <c r="C129" s="23" t="str">
        <f aca="false">'Base Despesas'!C129</f>
        <v>Aluguel</v>
      </c>
      <c r="D129" s="24" t="n">
        <f aca="false">'Base Despesas'!D129</f>
        <v>1938.41</v>
      </c>
      <c r="E129" s="23" t="n">
        <f aca="false">'Base Despesas'!E129</f>
        <v>5</v>
      </c>
      <c r="F129" s="23" t="str">
        <f aca="false">'Base Despesas'!F129</f>
        <v>Boleto</v>
      </c>
      <c r="G129" s="23" t="str">
        <f aca="false">'Base Despesas'!G129</f>
        <v>PAGO</v>
      </c>
      <c r="H129" s="23" t="str">
        <f aca="false">'Base Despesas'!H129</f>
        <v>À VISTA</v>
      </c>
      <c r="I129" s="35" t="n">
        <f aca="false">'Base Despesas'!I129</f>
        <v>45962</v>
      </c>
      <c r="J129" s="23" t="str">
        <f aca="false">IF(OR(B129="Salários e Benefícios",B129="Licenças / Ferramentas",B129="Custos Fixos"),"Fixa","Variável")</f>
        <v>Fixa</v>
      </c>
      <c r="K129" s="23" t="str">
        <f aca="false">IF(G129="PAGO","OK",IF(D129&gt;0,"⚠ Revisar","-"))</f>
        <v>OK</v>
      </c>
    </row>
    <row r="130" customFormat="false" ht="15" hidden="false" customHeight="false" outlineLevel="0" collapsed="false">
      <c r="A130" s="23" t="str">
        <f aca="false">'Base Despesas'!A130</f>
        <v>Janeiro</v>
      </c>
      <c r="B130" s="23" t="str">
        <f aca="false">'Base Despesas'!B130</f>
        <v>Custos Fixos</v>
      </c>
      <c r="C130" s="23" t="str">
        <f aca="false">'Base Despesas'!C130</f>
        <v>Água</v>
      </c>
      <c r="D130" s="24" t="n">
        <f aca="false">'Base Despesas'!D130</f>
        <v>80</v>
      </c>
      <c r="E130" s="23" t="n">
        <f aca="false">'Base Despesas'!E130</f>
        <v>0</v>
      </c>
      <c r="F130" s="23" t="n">
        <f aca="false">'Base Despesas'!F130</f>
        <v>0</v>
      </c>
      <c r="G130" s="23" t="n">
        <f aca="false">'Base Despesas'!G130</f>
        <v>0</v>
      </c>
      <c r="H130" s="23" t="n">
        <f aca="false">'Base Despesas'!H130</f>
        <v>0</v>
      </c>
      <c r="I130" s="23" t="n">
        <f aca="false">'Base Despesas'!I130</f>
        <v>0</v>
      </c>
      <c r="J130" s="23" t="str">
        <f aca="false">IF(OR(B130="Salários e Benefícios",B130="Licenças / Ferramentas",B130="Custos Fixos"),"Fixa","Variável")</f>
        <v>Fixa</v>
      </c>
      <c r="K130" s="23" t="str">
        <f aca="false">IF(G130="PAGO","OK",IF(D130&gt;0,"⚠ Revisar","-"))</f>
        <v>⚠ Revisar</v>
      </c>
    </row>
    <row r="131" customFormat="false" ht="15" hidden="false" customHeight="false" outlineLevel="0" collapsed="false">
      <c r="A131" s="23" t="str">
        <f aca="false">'Base Despesas'!A131</f>
        <v>Fevereiro</v>
      </c>
      <c r="B131" s="23" t="str">
        <f aca="false">'Base Despesas'!B131</f>
        <v>Custos Fixos</v>
      </c>
      <c r="C131" s="23" t="str">
        <f aca="false">'Base Despesas'!C131</f>
        <v>Água</v>
      </c>
      <c r="D131" s="24" t="n">
        <f aca="false">'Base Despesas'!D131</f>
        <v>80</v>
      </c>
      <c r="E131" s="23" t="n">
        <f aca="false">'Base Despesas'!E131</f>
        <v>0</v>
      </c>
      <c r="F131" s="23" t="n">
        <f aca="false">'Base Despesas'!F131</f>
        <v>0</v>
      </c>
      <c r="G131" s="23" t="n">
        <f aca="false">'Base Despesas'!G131</f>
        <v>0</v>
      </c>
      <c r="H131" s="23" t="n">
        <f aca="false">'Base Despesas'!H131</f>
        <v>0</v>
      </c>
      <c r="I131" s="23" t="n">
        <f aca="false">'Base Despesas'!I131</f>
        <v>0</v>
      </c>
      <c r="J131" s="23" t="str">
        <f aca="false">IF(OR(B131="Salários e Benefícios",B131="Licenças / Ferramentas",B131="Custos Fixos"),"Fixa","Variável")</f>
        <v>Fixa</v>
      </c>
      <c r="K131" s="23" t="str">
        <f aca="false">IF(G131="PAGO","OK",IF(D131&gt;0,"⚠ Revisar","-"))</f>
        <v>⚠ Revisar</v>
      </c>
    </row>
    <row r="132" customFormat="false" ht="15" hidden="false" customHeight="false" outlineLevel="0" collapsed="false">
      <c r="A132" s="23" t="str">
        <f aca="false">'Base Despesas'!A132</f>
        <v>Março</v>
      </c>
      <c r="B132" s="23" t="str">
        <f aca="false">'Base Despesas'!B132</f>
        <v>Custos Fixos</v>
      </c>
      <c r="C132" s="23" t="str">
        <f aca="false">'Base Despesas'!C132</f>
        <v>Água</v>
      </c>
      <c r="D132" s="24" t="n">
        <f aca="false">'Base Despesas'!D132</f>
        <v>80</v>
      </c>
      <c r="E132" s="23" t="n">
        <f aca="false">'Base Despesas'!E132</f>
        <v>0</v>
      </c>
      <c r="F132" s="23" t="n">
        <f aca="false">'Base Despesas'!F132</f>
        <v>0</v>
      </c>
      <c r="G132" s="23" t="n">
        <f aca="false">'Base Despesas'!G132</f>
        <v>0</v>
      </c>
      <c r="H132" s="23" t="n">
        <f aca="false">'Base Despesas'!H132</f>
        <v>0</v>
      </c>
      <c r="I132" s="23" t="n">
        <f aca="false">'Base Despesas'!I132</f>
        <v>0</v>
      </c>
      <c r="J132" s="23" t="str">
        <f aca="false">IF(OR(B132="Salários e Benefícios",B132="Licenças / Ferramentas",B132="Custos Fixos"),"Fixa","Variável")</f>
        <v>Fixa</v>
      </c>
      <c r="K132" s="23" t="str">
        <f aca="false">IF(G132="PAGO","OK",IF(D132&gt;0,"⚠ Revisar","-"))</f>
        <v>⚠ Revisar</v>
      </c>
    </row>
    <row r="133" customFormat="false" ht="15" hidden="false" customHeight="false" outlineLevel="0" collapsed="false">
      <c r="A133" s="23" t="str">
        <f aca="false">'Base Despesas'!A133</f>
        <v>Abril</v>
      </c>
      <c r="B133" s="23" t="str">
        <f aca="false">'Base Despesas'!B133</f>
        <v>Custos Fixos</v>
      </c>
      <c r="C133" s="23" t="str">
        <f aca="false">'Base Despesas'!C133</f>
        <v>Água</v>
      </c>
      <c r="D133" s="24" t="n">
        <f aca="false">'Base Despesas'!D133</f>
        <v>80</v>
      </c>
      <c r="E133" s="23" t="n">
        <f aca="false">'Base Despesas'!E133</f>
        <v>0</v>
      </c>
      <c r="F133" s="23" t="n">
        <f aca="false">'Base Despesas'!F133</f>
        <v>0</v>
      </c>
      <c r="G133" s="23" t="n">
        <f aca="false">'Base Despesas'!G133</f>
        <v>0</v>
      </c>
      <c r="H133" s="23" t="n">
        <f aca="false">'Base Despesas'!H133</f>
        <v>0</v>
      </c>
      <c r="I133" s="23" t="n">
        <f aca="false">'Base Despesas'!I133</f>
        <v>0</v>
      </c>
      <c r="J133" s="23" t="str">
        <f aca="false">IF(OR(B133="Salários e Benefícios",B133="Licenças / Ferramentas",B133="Custos Fixos"),"Fixa","Variável")</f>
        <v>Fixa</v>
      </c>
      <c r="K133" s="23" t="str">
        <f aca="false">IF(G133="PAGO","OK",IF(D133&gt;0,"⚠ Revisar","-"))</f>
        <v>⚠ Revisar</v>
      </c>
    </row>
    <row r="134" customFormat="false" ht="15" hidden="false" customHeight="false" outlineLevel="0" collapsed="false">
      <c r="A134" s="23" t="str">
        <f aca="false">'Base Despesas'!A134</f>
        <v>Maio</v>
      </c>
      <c r="B134" s="23" t="str">
        <f aca="false">'Base Despesas'!B134</f>
        <v>Custos Fixos</v>
      </c>
      <c r="C134" s="23" t="str">
        <f aca="false">'Base Despesas'!C134</f>
        <v>Água</v>
      </c>
      <c r="D134" s="24" t="n">
        <f aca="false">'Base Despesas'!D134</f>
        <v>80</v>
      </c>
      <c r="E134" s="23" t="n">
        <f aca="false">'Base Despesas'!E134</f>
        <v>0</v>
      </c>
      <c r="F134" s="23" t="n">
        <f aca="false">'Base Despesas'!F134</f>
        <v>0</v>
      </c>
      <c r="G134" s="23" t="n">
        <f aca="false">'Base Despesas'!G134</f>
        <v>0</v>
      </c>
      <c r="H134" s="23" t="n">
        <f aca="false">'Base Despesas'!H134</f>
        <v>0</v>
      </c>
      <c r="I134" s="23" t="n">
        <f aca="false">'Base Despesas'!I134</f>
        <v>0</v>
      </c>
      <c r="J134" s="23" t="str">
        <f aca="false">IF(OR(B134="Salários e Benefícios",B134="Licenças / Ferramentas",B134="Custos Fixos"),"Fixa","Variável")</f>
        <v>Fixa</v>
      </c>
      <c r="K134" s="23" t="str">
        <f aca="false">IF(G134="PAGO","OK",IF(D134&gt;0,"⚠ Revisar","-"))</f>
        <v>⚠ Revisar</v>
      </c>
    </row>
    <row r="135" customFormat="false" ht="15" hidden="false" customHeight="false" outlineLevel="0" collapsed="false">
      <c r="A135" s="23" t="str">
        <f aca="false">'Base Despesas'!A135</f>
        <v>Janeiro</v>
      </c>
      <c r="B135" s="23" t="str">
        <f aca="false">'Base Despesas'!B135</f>
        <v>Custos Fixos</v>
      </c>
      <c r="C135" s="23" t="str">
        <f aca="false">'Base Despesas'!C135</f>
        <v>Luz</v>
      </c>
      <c r="D135" s="24" t="n">
        <f aca="false">'Base Despesas'!D135</f>
        <v>135</v>
      </c>
      <c r="E135" s="23" t="n">
        <f aca="false">'Base Despesas'!E135</f>
        <v>25</v>
      </c>
      <c r="F135" s="23" t="n">
        <f aca="false">'Base Despesas'!F135</f>
        <v>0</v>
      </c>
      <c r="G135" s="23" t="str">
        <f aca="false">'Base Despesas'!G135</f>
        <v>PAGO</v>
      </c>
      <c r="H135" s="23" t="n">
        <f aca="false">'Base Despesas'!H135</f>
        <v>0</v>
      </c>
      <c r="I135" s="35" t="n">
        <f aca="false">'Base Despesas'!I135</f>
        <v>46023</v>
      </c>
      <c r="J135" s="23" t="str">
        <f aca="false">IF(OR(B135="Salários e Benefícios",B135="Licenças / Ferramentas",B135="Custos Fixos"),"Fixa","Variável")</f>
        <v>Fixa</v>
      </c>
      <c r="K135" s="23" t="str">
        <f aca="false">IF(G135="PAGO","OK",IF(D135&gt;0,"⚠ Revisar","-"))</f>
        <v>OK</v>
      </c>
    </row>
    <row r="136" customFormat="false" ht="15" hidden="false" customHeight="false" outlineLevel="0" collapsed="false">
      <c r="A136" s="23" t="str">
        <f aca="false">'Base Despesas'!A136</f>
        <v>Fevereiro</v>
      </c>
      <c r="B136" s="23" t="str">
        <f aca="false">'Base Despesas'!B136</f>
        <v>Custos Fixos</v>
      </c>
      <c r="C136" s="23" t="str">
        <f aca="false">'Base Despesas'!C136</f>
        <v>Luz</v>
      </c>
      <c r="D136" s="24" t="n">
        <f aca="false">'Base Despesas'!D136</f>
        <v>140.47</v>
      </c>
      <c r="E136" s="23" t="n">
        <f aca="false">'Base Despesas'!E136</f>
        <v>25</v>
      </c>
      <c r="F136" s="23" t="str">
        <f aca="false">'Base Despesas'!F136</f>
        <v>Boleto</v>
      </c>
      <c r="G136" s="23" t="n">
        <f aca="false">'Base Despesas'!G136</f>
        <v>0</v>
      </c>
      <c r="H136" s="23" t="n">
        <f aca="false">'Base Despesas'!H136</f>
        <v>0</v>
      </c>
      <c r="I136" s="23" t="n">
        <f aca="false">'Base Despesas'!I136</f>
        <v>0</v>
      </c>
      <c r="J136" s="23" t="str">
        <f aca="false">IF(OR(B136="Salários e Benefícios",B136="Licenças / Ferramentas",B136="Custos Fixos"),"Fixa","Variável")</f>
        <v>Fixa</v>
      </c>
      <c r="K136" s="23" t="str">
        <f aca="false">IF(G136="PAGO","OK",IF(D136&gt;0,"⚠ Revisar","-"))</f>
        <v>⚠ Revisar</v>
      </c>
    </row>
    <row r="137" customFormat="false" ht="15" hidden="false" customHeight="false" outlineLevel="0" collapsed="false">
      <c r="A137" s="23" t="str">
        <f aca="false">'Base Despesas'!A137</f>
        <v>Março</v>
      </c>
      <c r="B137" s="23" t="str">
        <f aca="false">'Base Despesas'!B137</f>
        <v>Custos Fixos</v>
      </c>
      <c r="C137" s="23" t="str">
        <f aca="false">'Base Despesas'!C137</f>
        <v>Luz</v>
      </c>
      <c r="D137" s="24" t="n">
        <f aca="false">'Base Despesas'!D137</f>
        <v>85.25</v>
      </c>
      <c r="E137" s="23" t="n">
        <f aca="false">'Base Despesas'!E137</f>
        <v>25</v>
      </c>
      <c r="F137" s="23" t="n">
        <f aca="false">'Base Despesas'!F137</f>
        <v>0</v>
      </c>
      <c r="G137" s="23" t="n">
        <f aca="false">'Base Despesas'!G137</f>
        <v>0</v>
      </c>
      <c r="H137" s="23" t="n">
        <f aca="false">'Base Despesas'!H137</f>
        <v>0</v>
      </c>
      <c r="I137" s="23" t="n">
        <f aca="false">'Base Despesas'!I137</f>
        <v>0</v>
      </c>
      <c r="J137" s="23" t="str">
        <f aca="false">IF(OR(B137="Salários e Benefícios",B137="Licenças / Ferramentas",B137="Custos Fixos"),"Fixa","Variável")</f>
        <v>Fixa</v>
      </c>
      <c r="K137" s="23" t="str">
        <f aca="false">IF(G137="PAGO","OK",IF(D137&gt;0,"⚠ Revisar","-"))</f>
        <v>⚠ Revisar</v>
      </c>
    </row>
    <row r="138" customFormat="false" ht="15" hidden="false" customHeight="false" outlineLevel="0" collapsed="false">
      <c r="A138" s="23" t="str">
        <f aca="false">'Base Despesas'!A138</f>
        <v>Abril</v>
      </c>
      <c r="B138" s="23" t="str">
        <f aca="false">'Base Despesas'!B138</f>
        <v>Custos Fixos</v>
      </c>
      <c r="C138" s="23" t="str">
        <f aca="false">'Base Despesas'!C138</f>
        <v>Luz</v>
      </c>
      <c r="D138" s="24" t="n">
        <f aca="false">'Base Despesas'!D138</f>
        <v>85.25</v>
      </c>
      <c r="E138" s="23" t="n">
        <f aca="false">'Base Despesas'!E138</f>
        <v>25</v>
      </c>
      <c r="F138" s="23" t="n">
        <f aca="false">'Base Despesas'!F138</f>
        <v>0</v>
      </c>
      <c r="G138" s="23" t="n">
        <f aca="false">'Base Despesas'!G138</f>
        <v>0</v>
      </c>
      <c r="H138" s="23" t="n">
        <f aca="false">'Base Despesas'!H138</f>
        <v>0</v>
      </c>
      <c r="I138" s="23" t="n">
        <f aca="false">'Base Despesas'!I138</f>
        <v>0</v>
      </c>
      <c r="J138" s="23" t="str">
        <f aca="false">IF(OR(B138="Salários e Benefícios",B138="Licenças / Ferramentas",B138="Custos Fixos"),"Fixa","Variável")</f>
        <v>Fixa</v>
      </c>
      <c r="K138" s="23" t="str">
        <f aca="false">IF(G138="PAGO","OK",IF(D138&gt;0,"⚠ Revisar","-"))</f>
        <v>⚠ Revisar</v>
      </c>
    </row>
    <row r="139" customFormat="false" ht="15" hidden="false" customHeight="false" outlineLevel="0" collapsed="false">
      <c r="A139" s="23" t="str">
        <f aca="false">'Base Despesas'!A139</f>
        <v>Maio</v>
      </c>
      <c r="B139" s="23" t="str">
        <f aca="false">'Base Despesas'!B139</f>
        <v>Custos Fixos</v>
      </c>
      <c r="C139" s="23" t="str">
        <f aca="false">'Base Despesas'!C139</f>
        <v>Luz</v>
      </c>
      <c r="D139" s="24" t="n">
        <f aca="false">'Base Despesas'!D139</f>
        <v>85.25</v>
      </c>
      <c r="E139" s="23" t="n">
        <f aca="false">'Base Despesas'!E139</f>
        <v>25</v>
      </c>
      <c r="F139" s="23" t="n">
        <f aca="false">'Base Despesas'!F139</f>
        <v>0</v>
      </c>
      <c r="G139" s="23" t="n">
        <f aca="false">'Base Despesas'!G139</f>
        <v>0</v>
      </c>
      <c r="H139" s="23" t="n">
        <f aca="false">'Base Despesas'!H139</f>
        <v>0</v>
      </c>
      <c r="I139" s="23" t="n">
        <f aca="false">'Base Despesas'!I139</f>
        <v>0</v>
      </c>
      <c r="J139" s="23" t="str">
        <f aca="false">IF(OR(B139="Salários e Benefícios",B139="Licenças / Ferramentas",B139="Custos Fixos"),"Fixa","Variável")</f>
        <v>Fixa</v>
      </c>
      <c r="K139" s="23" t="str">
        <f aca="false">IF(G139="PAGO","OK",IF(D139&gt;0,"⚠ Revisar","-"))</f>
        <v>⚠ Revisar</v>
      </c>
    </row>
    <row r="140" customFormat="false" ht="15" hidden="false" customHeight="false" outlineLevel="0" collapsed="false">
      <c r="A140" s="23" t="str">
        <f aca="false">'Base Despesas'!A140</f>
        <v>Janeiro</v>
      </c>
      <c r="B140" s="23" t="str">
        <f aca="false">'Base Despesas'!B140</f>
        <v>Custos Fixos</v>
      </c>
      <c r="C140" s="23" t="str">
        <f aca="false">'Base Despesas'!C140</f>
        <v>Internet</v>
      </c>
      <c r="D140" s="24" t="n">
        <f aca="false">'Base Despesas'!D140</f>
        <v>249.15</v>
      </c>
      <c r="E140" s="23" t="str">
        <f aca="false">'Base Despesas'!E140</f>
        <v>5 10 13</v>
      </c>
      <c r="F140" s="23" t="str">
        <f aca="false">'Base Despesas'!F140</f>
        <v>Boleto</v>
      </c>
      <c r="G140" s="23" t="str">
        <f aca="false">'Base Despesas'!G140</f>
        <v>PAGO</v>
      </c>
      <c r="H140" s="23" t="n">
        <f aca="false">'Base Despesas'!H140</f>
        <v>0</v>
      </c>
      <c r="I140" s="23" t="n">
        <f aca="false">'Base Despesas'!I140</f>
        <v>0</v>
      </c>
      <c r="J140" s="23" t="str">
        <f aca="false">IF(OR(B140="Salários e Benefícios",B140="Licenças / Ferramentas",B140="Custos Fixos"),"Fixa","Variável")</f>
        <v>Fixa</v>
      </c>
      <c r="K140" s="23" t="str">
        <f aca="false">IF(G140="PAGO","OK",IF(D140&gt;0,"⚠ Revisar","-"))</f>
        <v>OK</v>
      </c>
    </row>
    <row r="141" customFormat="false" ht="15" hidden="false" customHeight="false" outlineLevel="0" collapsed="false">
      <c r="A141" s="23" t="str">
        <f aca="false">'Base Despesas'!A141</f>
        <v>Fevereiro</v>
      </c>
      <c r="B141" s="23" t="str">
        <f aca="false">'Base Despesas'!B141</f>
        <v>Custos Fixos</v>
      </c>
      <c r="C141" s="23" t="str">
        <f aca="false">'Base Despesas'!C141</f>
        <v>Internet</v>
      </c>
      <c r="D141" s="24" t="n">
        <f aca="false">'Base Despesas'!D141</f>
        <v>211.13</v>
      </c>
      <c r="E141" s="23" t="str">
        <f aca="false">'Base Despesas'!E141</f>
        <v>5 10 13</v>
      </c>
      <c r="F141" s="23" t="str">
        <f aca="false">'Base Despesas'!F141</f>
        <v>Boleto</v>
      </c>
      <c r="G141" s="23" t="str">
        <f aca="false">'Base Despesas'!G141</f>
        <v>PAGO</v>
      </c>
      <c r="H141" s="23" t="n">
        <f aca="false">'Base Despesas'!H141</f>
        <v>0</v>
      </c>
      <c r="I141" s="23" t="n">
        <f aca="false">'Base Despesas'!I141</f>
        <v>0</v>
      </c>
      <c r="J141" s="23" t="str">
        <f aca="false">IF(OR(B141="Salários e Benefícios",B141="Licenças / Ferramentas",B141="Custos Fixos"),"Fixa","Variável")</f>
        <v>Fixa</v>
      </c>
      <c r="K141" s="23" t="str">
        <f aca="false">IF(G141="PAGO","OK",IF(D141&gt;0,"⚠ Revisar","-"))</f>
        <v>OK</v>
      </c>
    </row>
    <row r="142" customFormat="false" ht="15" hidden="false" customHeight="false" outlineLevel="0" collapsed="false">
      <c r="A142" s="23" t="str">
        <f aca="false">'Base Despesas'!A142</f>
        <v>Março</v>
      </c>
      <c r="B142" s="23" t="str">
        <f aca="false">'Base Despesas'!B142</f>
        <v>Custos Fixos</v>
      </c>
      <c r="C142" s="23" t="str">
        <f aca="false">'Base Despesas'!C142</f>
        <v>Internet</v>
      </c>
      <c r="D142" s="24" t="n">
        <f aca="false">'Base Despesas'!D142</f>
        <v>249.15</v>
      </c>
      <c r="E142" s="23" t="str">
        <f aca="false">'Base Despesas'!E142</f>
        <v>5 10 13</v>
      </c>
      <c r="F142" s="23" t="n">
        <f aca="false">'Base Despesas'!F142</f>
        <v>0</v>
      </c>
      <c r="G142" s="23" t="n">
        <f aca="false">'Base Despesas'!G142</f>
        <v>0</v>
      </c>
      <c r="H142" s="23" t="n">
        <f aca="false">'Base Despesas'!H142</f>
        <v>0</v>
      </c>
      <c r="I142" s="23" t="n">
        <f aca="false">'Base Despesas'!I142</f>
        <v>0</v>
      </c>
      <c r="J142" s="23" t="str">
        <f aca="false">IF(OR(B142="Salários e Benefícios",B142="Licenças / Ferramentas",B142="Custos Fixos"),"Fixa","Variável")</f>
        <v>Fixa</v>
      </c>
      <c r="K142" s="23" t="str">
        <f aca="false">IF(G142="PAGO","OK",IF(D142&gt;0,"⚠ Revisar","-"))</f>
        <v>⚠ Revisar</v>
      </c>
    </row>
    <row r="143" customFormat="false" ht="15" hidden="false" customHeight="false" outlineLevel="0" collapsed="false">
      <c r="A143" s="23" t="str">
        <f aca="false">'Base Despesas'!A143</f>
        <v>Abril</v>
      </c>
      <c r="B143" s="23" t="str">
        <f aca="false">'Base Despesas'!B143</f>
        <v>Custos Fixos</v>
      </c>
      <c r="C143" s="23" t="str">
        <f aca="false">'Base Despesas'!C143</f>
        <v>Internet</v>
      </c>
      <c r="D143" s="24" t="n">
        <f aca="false">'Base Despesas'!D143</f>
        <v>249.15</v>
      </c>
      <c r="E143" s="23" t="str">
        <f aca="false">'Base Despesas'!E143</f>
        <v>5 10 13</v>
      </c>
      <c r="F143" s="23" t="str">
        <f aca="false">'Base Despesas'!F143</f>
        <v>Boleto</v>
      </c>
      <c r="G143" s="23" t="n">
        <f aca="false">'Base Despesas'!G143</f>
        <v>0</v>
      </c>
      <c r="H143" s="23" t="str">
        <f aca="false">'Base Despesas'!H143</f>
        <v>À VISTA</v>
      </c>
      <c r="I143" s="35" t="n">
        <f aca="false">'Base Despesas'!I143</f>
        <v>45931</v>
      </c>
      <c r="J143" s="23" t="str">
        <f aca="false">IF(OR(B143="Salários e Benefícios",B143="Licenças / Ferramentas",B143="Custos Fixos"),"Fixa","Variável")</f>
        <v>Fixa</v>
      </c>
      <c r="K143" s="23" t="str">
        <f aca="false">IF(G143="PAGO","OK",IF(D143&gt;0,"⚠ Revisar","-"))</f>
        <v>⚠ Revisar</v>
      </c>
    </row>
    <row r="144" customFormat="false" ht="15" hidden="false" customHeight="false" outlineLevel="0" collapsed="false">
      <c r="A144" s="23" t="str">
        <f aca="false">'Base Despesas'!A144</f>
        <v>Maio</v>
      </c>
      <c r="B144" s="23" t="str">
        <f aca="false">'Base Despesas'!B144</f>
        <v>Custos Fixos</v>
      </c>
      <c r="C144" s="23" t="str">
        <f aca="false">'Base Despesas'!C144</f>
        <v>Internet</v>
      </c>
      <c r="D144" s="24" t="n">
        <f aca="false">'Base Despesas'!D144</f>
        <v>249.15</v>
      </c>
      <c r="E144" s="23" t="str">
        <f aca="false">'Base Despesas'!E144</f>
        <v>5 10 13</v>
      </c>
      <c r="F144" s="23" t="str">
        <f aca="false">'Base Despesas'!F144</f>
        <v>Boleto</v>
      </c>
      <c r="G144" s="23" t="str">
        <f aca="false">'Base Despesas'!G144</f>
        <v>PAGO</v>
      </c>
      <c r="H144" s="23" t="str">
        <f aca="false">'Base Despesas'!H144</f>
        <v>À VISTA</v>
      </c>
      <c r="I144" s="35" t="n">
        <f aca="false">'Base Despesas'!I144</f>
        <v>45992</v>
      </c>
      <c r="J144" s="23" t="str">
        <f aca="false">IF(OR(B144="Salários e Benefícios",B144="Licenças / Ferramentas",B144="Custos Fixos"),"Fixa","Variável")</f>
        <v>Fixa</v>
      </c>
      <c r="K144" s="23" t="str">
        <f aca="false">IF(G144="PAGO","OK",IF(D144&gt;0,"⚠ Revisar","-"))</f>
        <v>OK</v>
      </c>
    </row>
    <row r="145" customFormat="false" ht="15" hidden="false" customHeight="false" outlineLevel="0" collapsed="false">
      <c r="A145" s="23" t="str">
        <f aca="false">'Base Despesas'!A145</f>
        <v>Janeiro</v>
      </c>
      <c r="B145" s="23" t="str">
        <f aca="false">'Base Despesas'!B145</f>
        <v>Custos Fixos</v>
      </c>
      <c r="C145" s="23" t="str">
        <f aca="false">'Base Despesas'!C145</f>
        <v>Convivência / Faxina</v>
      </c>
      <c r="D145" s="24" t="n">
        <f aca="false">'Base Despesas'!D145</f>
        <v>200</v>
      </c>
      <c r="E145" s="23" t="n">
        <f aca="false">'Base Despesas'!E145</f>
        <v>25</v>
      </c>
      <c r="F145" s="23" t="n">
        <f aca="false">'Base Despesas'!F145</f>
        <v>0</v>
      </c>
      <c r="G145" s="23" t="n">
        <f aca="false">'Base Despesas'!G145</f>
        <v>0</v>
      </c>
      <c r="H145" s="23" t="n">
        <f aca="false">'Base Despesas'!H145</f>
        <v>0</v>
      </c>
      <c r="I145" s="23" t="n">
        <f aca="false">'Base Despesas'!I145</f>
        <v>0</v>
      </c>
      <c r="J145" s="23" t="str">
        <f aca="false">IF(OR(B145="Salários e Benefícios",B145="Licenças / Ferramentas",B145="Custos Fixos"),"Fixa","Variável")</f>
        <v>Fixa</v>
      </c>
      <c r="K145" s="23" t="str">
        <f aca="false">IF(G145="PAGO","OK",IF(D145&gt;0,"⚠ Revisar","-"))</f>
        <v>⚠ Revisar</v>
      </c>
    </row>
    <row r="146" customFormat="false" ht="15" hidden="false" customHeight="false" outlineLevel="0" collapsed="false">
      <c r="A146" s="23" t="str">
        <f aca="false">'Base Despesas'!A146</f>
        <v>Fevereiro</v>
      </c>
      <c r="B146" s="23" t="str">
        <f aca="false">'Base Despesas'!B146</f>
        <v>Custos Fixos</v>
      </c>
      <c r="C146" s="23" t="str">
        <f aca="false">'Base Despesas'!C146</f>
        <v>Convivência / Faxina</v>
      </c>
      <c r="D146" s="24" t="n">
        <f aca="false">'Base Despesas'!D146</f>
        <v>200</v>
      </c>
      <c r="E146" s="23" t="n">
        <f aca="false">'Base Despesas'!E146</f>
        <v>25</v>
      </c>
      <c r="F146" s="23" t="n">
        <f aca="false">'Base Despesas'!F146</f>
        <v>0</v>
      </c>
      <c r="G146" s="23" t="n">
        <f aca="false">'Base Despesas'!G146</f>
        <v>0</v>
      </c>
      <c r="H146" s="23" t="n">
        <f aca="false">'Base Despesas'!H146</f>
        <v>0</v>
      </c>
      <c r="I146" s="23" t="n">
        <f aca="false">'Base Despesas'!I146</f>
        <v>0</v>
      </c>
      <c r="J146" s="23" t="str">
        <f aca="false">IF(OR(B146="Salários e Benefícios",B146="Licenças / Ferramentas",B146="Custos Fixos"),"Fixa","Variável")</f>
        <v>Fixa</v>
      </c>
      <c r="K146" s="23" t="str">
        <f aca="false">IF(G146="PAGO","OK",IF(D146&gt;0,"⚠ Revisar","-"))</f>
        <v>⚠ Revisar</v>
      </c>
    </row>
    <row r="147" customFormat="false" ht="15" hidden="false" customHeight="false" outlineLevel="0" collapsed="false">
      <c r="A147" s="23" t="str">
        <f aca="false">'Base Despesas'!A147</f>
        <v>Março</v>
      </c>
      <c r="B147" s="23" t="str">
        <f aca="false">'Base Despesas'!B147</f>
        <v>Custos Fixos</v>
      </c>
      <c r="C147" s="23" t="str">
        <f aca="false">'Base Despesas'!C147</f>
        <v>Convivência / Faxina</v>
      </c>
      <c r="D147" s="24" t="str">
        <f aca="false">'Base Despesas'!D147</f>
        <v> </v>
      </c>
      <c r="E147" s="23" t="n">
        <f aca="false">'Base Despesas'!E147</f>
        <v>25</v>
      </c>
      <c r="F147" s="23" t="n">
        <f aca="false">'Base Despesas'!F147</f>
        <v>0</v>
      </c>
      <c r="G147" s="23" t="n">
        <f aca="false">'Base Despesas'!G147</f>
        <v>0</v>
      </c>
      <c r="H147" s="23" t="n">
        <f aca="false">'Base Despesas'!H147</f>
        <v>0</v>
      </c>
      <c r="I147" s="23" t="n">
        <f aca="false">'Base Despesas'!I147</f>
        <v>0</v>
      </c>
      <c r="J147" s="23" t="str">
        <f aca="false">IF(OR(B147="Salários e Benefícios",B147="Licenças / Ferramentas",B147="Custos Fixos"),"Fixa","Variável")</f>
        <v>Fixa</v>
      </c>
      <c r="K147" s="23" t="str">
        <f aca="false">IF(G147="PAGO","OK",IF(D147&gt;0,"⚠ Revisar","-"))</f>
        <v>⚠ Revisar</v>
      </c>
    </row>
    <row r="148" customFormat="false" ht="15" hidden="false" customHeight="false" outlineLevel="0" collapsed="false">
      <c r="A148" s="23" t="str">
        <f aca="false">'Base Despesas'!A148</f>
        <v>Abril</v>
      </c>
      <c r="B148" s="23" t="str">
        <f aca="false">'Base Despesas'!B148</f>
        <v>Custos Fixos</v>
      </c>
      <c r="C148" s="23" t="str">
        <f aca="false">'Base Despesas'!C148</f>
        <v>Convivência / Faxina</v>
      </c>
      <c r="D148" s="24" t="n">
        <f aca="false">'Base Despesas'!D148</f>
        <v>200</v>
      </c>
      <c r="E148" s="23" t="n">
        <f aca="false">'Base Despesas'!E148</f>
        <v>25</v>
      </c>
      <c r="F148" s="23" t="n">
        <f aca="false">'Base Despesas'!F148</f>
        <v>0</v>
      </c>
      <c r="G148" s="23" t="n">
        <f aca="false">'Base Despesas'!G148</f>
        <v>0</v>
      </c>
      <c r="H148" s="23" t="n">
        <f aca="false">'Base Despesas'!H148</f>
        <v>0</v>
      </c>
      <c r="I148" s="23" t="n">
        <f aca="false">'Base Despesas'!I148</f>
        <v>0</v>
      </c>
      <c r="J148" s="23" t="str">
        <f aca="false">IF(OR(B148="Salários e Benefícios",B148="Licenças / Ferramentas",B148="Custos Fixos"),"Fixa","Variável")</f>
        <v>Fixa</v>
      </c>
      <c r="K148" s="23" t="str">
        <f aca="false">IF(G148="PAGO","OK",IF(D148&gt;0,"⚠ Revisar","-"))</f>
        <v>⚠ Revisar</v>
      </c>
    </row>
    <row r="149" customFormat="false" ht="15" hidden="false" customHeight="false" outlineLevel="0" collapsed="false">
      <c r="A149" s="23" t="str">
        <f aca="false">'Base Despesas'!A149</f>
        <v>Maio</v>
      </c>
      <c r="B149" s="23" t="str">
        <f aca="false">'Base Despesas'!B149</f>
        <v>Custos Fixos</v>
      </c>
      <c r="C149" s="23" t="str">
        <f aca="false">'Base Despesas'!C149</f>
        <v>Convivência / Faxina</v>
      </c>
      <c r="D149" s="24" t="n">
        <f aca="false">'Base Despesas'!D149</f>
        <v>200</v>
      </c>
      <c r="E149" s="23" t="n">
        <f aca="false">'Base Despesas'!E149</f>
        <v>25</v>
      </c>
      <c r="F149" s="23" t="n">
        <f aca="false">'Base Despesas'!F149</f>
        <v>0</v>
      </c>
      <c r="G149" s="23" t="n">
        <f aca="false">'Base Despesas'!G149</f>
        <v>0</v>
      </c>
      <c r="H149" s="23" t="n">
        <f aca="false">'Base Despesas'!H149</f>
        <v>0</v>
      </c>
      <c r="I149" s="23" t="n">
        <f aca="false">'Base Despesas'!I149</f>
        <v>0</v>
      </c>
      <c r="J149" s="23" t="str">
        <f aca="false">IF(OR(B149="Salários e Benefícios",B149="Licenças / Ferramentas",B149="Custos Fixos"),"Fixa","Variável")</f>
        <v>Fixa</v>
      </c>
      <c r="K149" s="23" t="str">
        <f aca="false">IF(G149="PAGO","OK",IF(D149&gt;0,"⚠ Revisar","-"))</f>
        <v>⚠ Revisar</v>
      </c>
    </row>
    <row r="150" customFormat="false" ht="15" hidden="false" customHeight="false" outlineLevel="0" collapsed="false">
      <c r="A150" s="23" t="str">
        <f aca="false">'Base Despesas'!A150</f>
        <v>Janeiro</v>
      </c>
      <c r="B150" s="23" t="str">
        <f aca="false">'Base Despesas'!B150</f>
        <v>Custos Fixos</v>
      </c>
      <c r="C150" s="23" t="str">
        <f aca="false">'Base Despesas'!C150</f>
        <v>Impostos e Taxas</v>
      </c>
      <c r="D150" s="24" t="n">
        <f aca="false">'Base Despesas'!D150</f>
        <v>1543.44</v>
      </c>
      <c r="E150" s="23" t="n">
        <f aca="false">'Base Despesas'!E150</f>
        <v>20</v>
      </c>
      <c r="F150" s="23" t="str">
        <f aca="false">'Base Despesas'!F150</f>
        <v>Boleto</v>
      </c>
      <c r="G150" s="23" t="str">
        <f aca="false">'Base Despesas'!G150</f>
        <v>PAGO</v>
      </c>
      <c r="H150" s="23" t="str">
        <f aca="false">'Base Despesas'!H150</f>
        <v>À VISTA</v>
      </c>
      <c r="I150" s="35" t="n">
        <f aca="false">'Base Despesas'!I150</f>
        <v>45992</v>
      </c>
      <c r="J150" s="23" t="str">
        <f aca="false">IF(OR(B150="Salários e Benefícios",B150="Licenças / Ferramentas",B150="Custos Fixos"),"Fixa","Variável")</f>
        <v>Fixa</v>
      </c>
      <c r="K150" s="23" t="str">
        <f aca="false">IF(G150="PAGO","OK",IF(D150&gt;0,"⚠ Revisar","-"))</f>
        <v>OK</v>
      </c>
    </row>
    <row r="151" customFormat="false" ht="15" hidden="false" customHeight="false" outlineLevel="0" collapsed="false">
      <c r="A151" s="23" t="str">
        <f aca="false">'Base Despesas'!A151</f>
        <v>Fevereiro</v>
      </c>
      <c r="B151" s="23" t="str">
        <f aca="false">'Base Despesas'!B151</f>
        <v>Custos Fixos</v>
      </c>
      <c r="C151" s="23" t="str">
        <f aca="false">'Base Despesas'!C151</f>
        <v>Impostos e Taxas</v>
      </c>
      <c r="D151" s="24" t="n">
        <f aca="false">'Base Despesas'!D151</f>
        <v>1151</v>
      </c>
      <c r="E151" s="23" t="n">
        <f aca="false">'Base Despesas'!E151</f>
        <v>20</v>
      </c>
      <c r="F151" s="23" t="str">
        <f aca="false">'Base Despesas'!F151</f>
        <v>Boleto</v>
      </c>
      <c r="G151" s="23" t="str">
        <f aca="false">'Base Despesas'!G151</f>
        <v>PAGO</v>
      </c>
      <c r="H151" s="23" t="n">
        <f aca="false">'Base Despesas'!H151</f>
        <v>0</v>
      </c>
      <c r="I151" s="23" t="n">
        <f aca="false">'Base Despesas'!I151</f>
        <v>0</v>
      </c>
      <c r="J151" s="23" t="str">
        <f aca="false">IF(OR(B151="Salários e Benefícios",B151="Licenças / Ferramentas",B151="Custos Fixos"),"Fixa","Variável")</f>
        <v>Fixa</v>
      </c>
      <c r="K151" s="23" t="str">
        <f aca="false">IF(G151="PAGO","OK",IF(D151&gt;0,"⚠ Revisar","-"))</f>
        <v>OK</v>
      </c>
    </row>
    <row r="152" customFormat="false" ht="15" hidden="false" customHeight="false" outlineLevel="0" collapsed="false">
      <c r="A152" s="23" t="str">
        <f aca="false">'Base Despesas'!A152</f>
        <v>Março</v>
      </c>
      <c r="B152" s="23" t="str">
        <f aca="false">'Base Despesas'!B152</f>
        <v>Custos Fixos</v>
      </c>
      <c r="C152" s="23" t="str">
        <f aca="false">'Base Despesas'!C152</f>
        <v>Impostos e Taxas</v>
      </c>
      <c r="D152" s="24" t="n">
        <f aca="false">'Base Despesas'!D152</f>
        <v>900</v>
      </c>
      <c r="E152" s="23" t="n">
        <f aca="false">'Base Despesas'!E152</f>
        <v>20</v>
      </c>
      <c r="F152" s="23" t="n">
        <f aca="false">'Base Despesas'!F152</f>
        <v>0</v>
      </c>
      <c r="G152" s="23" t="n">
        <f aca="false">'Base Despesas'!G152</f>
        <v>0</v>
      </c>
      <c r="H152" s="23" t="n">
        <f aca="false">'Base Despesas'!H152</f>
        <v>0</v>
      </c>
      <c r="I152" s="23" t="n">
        <f aca="false">'Base Despesas'!I152</f>
        <v>0</v>
      </c>
      <c r="J152" s="23" t="str">
        <f aca="false">IF(OR(B152="Salários e Benefícios",B152="Licenças / Ferramentas",B152="Custos Fixos"),"Fixa","Variável")</f>
        <v>Fixa</v>
      </c>
      <c r="K152" s="23" t="str">
        <f aca="false">IF(G152="PAGO","OK",IF(D152&gt;0,"⚠ Revisar","-"))</f>
        <v>⚠ Revisar</v>
      </c>
    </row>
    <row r="153" customFormat="false" ht="15" hidden="false" customHeight="false" outlineLevel="0" collapsed="false">
      <c r="A153" s="23" t="str">
        <f aca="false">'Base Despesas'!A153</f>
        <v>Abril</v>
      </c>
      <c r="B153" s="23" t="str">
        <f aca="false">'Base Despesas'!B153</f>
        <v>Custos Fixos</v>
      </c>
      <c r="C153" s="23" t="str">
        <f aca="false">'Base Despesas'!C153</f>
        <v>Impostos e Taxas</v>
      </c>
      <c r="D153" s="24" t="n">
        <f aca="false">'Base Despesas'!D153</f>
        <v>900</v>
      </c>
      <c r="E153" s="23" t="n">
        <f aca="false">'Base Despesas'!E153</f>
        <v>20</v>
      </c>
      <c r="F153" s="23" t="n">
        <f aca="false">'Base Despesas'!F153</f>
        <v>0</v>
      </c>
      <c r="G153" s="23" t="n">
        <f aca="false">'Base Despesas'!G153</f>
        <v>0</v>
      </c>
      <c r="H153" s="23" t="n">
        <f aca="false">'Base Despesas'!H153</f>
        <v>0</v>
      </c>
      <c r="I153" s="23" t="n">
        <f aca="false">'Base Despesas'!I153</f>
        <v>0</v>
      </c>
      <c r="J153" s="23" t="str">
        <f aca="false">IF(OR(B153="Salários e Benefícios",B153="Licenças / Ferramentas",B153="Custos Fixos"),"Fixa","Variável")</f>
        <v>Fixa</v>
      </c>
      <c r="K153" s="23" t="str">
        <f aca="false">IF(G153="PAGO","OK",IF(D153&gt;0,"⚠ Revisar","-"))</f>
        <v>⚠ Revisar</v>
      </c>
    </row>
    <row r="154" customFormat="false" ht="15" hidden="false" customHeight="false" outlineLevel="0" collapsed="false">
      <c r="A154" s="23" t="str">
        <f aca="false">'Base Despesas'!A154</f>
        <v>Maio</v>
      </c>
      <c r="B154" s="23" t="str">
        <f aca="false">'Base Despesas'!B154</f>
        <v>Custos Fixos</v>
      </c>
      <c r="C154" s="23" t="str">
        <f aca="false">'Base Despesas'!C154</f>
        <v>Impostos e Taxas</v>
      </c>
      <c r="D154" s="24" t="n">
        <f aca="false">'Base Despesas'!D154</f>
        <v>900</v>
      </c>
      <c r="E154" s="23" t="n">
        <f aca="false">'Base Despesas'!E154</f>
        <v>20</v>
      </c>
      <c r="F154" s="23" t="n">
        <f aca="false">'Base Despesas'!F154</f>
        <v>0</v>
      </c>
      <c r="G154" s="23" t="n">
        <f aca="false">'Base Despesas'!G154</f>
        <v>0</v>
      </c>
      <c r="H154" s="23" t="n">
        <f aca="false">'Base Despesas'!H154</f>
        <v>0</v>
      </c>
      <c r="I154" s="23" t="n">
        <f aca="false">'Base Despesas'!I154</f>
        <v>0</v>
      </c>
      <c r="J154" s="23" t="str">
        <f aca="false">IF(OR(B154="Salários e Benefícios",B154="Licenças / Ferramentas",B154="Custos Fixos"),"Fixa","Variável")</f>
        <v>Fixa</v>
      </c>
      <c r="K154" s="23" t="str">
        <f aca="false">IF(G154="PAGO","OK",IF(D154&gt;0,"⚠ Revisar","-"))</f>
        <v>⚠ Revisar</v>
      </c>
    </row>
    <row r="155" customFormat="false" ht="15" hidden="false" customHeight="false" outlineLevel="0" collapsed="false">
      <c r="A155" s="23" t="str">
        <f aca="false">'Base Despesas'!A155</f>
        <v>Janeiro</v>
      </c>
      <c r="B155" s="23" t="str">
        <f aca="false">'Base Despesas'!B155</f>
        <v>Administrativo</v>
      </c>
      <c r="C155" s="23" t="str">
        <f aca="false">'Base Despesas'!C155</f>
        <v>Medicina do trabalho</v>
      </c>
      <c r="D155" s="24" t="n">
        <f aca="false">'Base Despesas'!D155</f>
        <v>190</v>
      </c>
      <c r="E155" s="23" t="n">
        <f aca="false">'Base Despesas'!E155</f>
        <v>5</v>
      </c>
      <c r="F155" s="23" t="str">
        <f aca="false">'Base Despesas'!F155</f>
        <v>Boleto</v>
      </c>
      <c r="G155" s="23" t="str">
        <f aca="false">'Base Despesas'!G155</f>
        <v>PAGO</v>
      </c>
      <c r="H155" s="23" t="n">
        <f aca="false">'Base Despesas'!H155</f>
        <v>0</v>
      </c>
      <c r="I155" s="23" t="n">
        <f aca="false">'Base Despesas'!I155</f>
        <v>0</v>
      </c>
      <c r="J155" s="23" t="str">
        <f aca="false">IF(OR(B155="Salários e Benefícios",B155="Licenças / Ferramentas",B155="Custos Fixos"),"Fixa","Variável")</f>
        <v>Variável</v>
      </c>
      <c r="K155" s="23" t="str">
        <f aca="false">IF(G155="PAGO","OK",IF(D155&gt;0,"⚠ Revisar","-"))</f>
        <v>OK</v>
      </c>
    </row>
    <row r="156" customFormat="false" ht="15" hidden="false" customHeight="false" outlineLevel="0" collapsed="false">
      <c r="A156" s="23" t="str">
        <f aca="false">'Base Despesas'!A156</f>
        <v>Fevereiro</v>
      </c>
      <c r="B156" s="23" t="str">
        <f aca="false">'Base Despesas'!B156</f>
        <v>Administrativo</v>
      </c>
      <c r="C156" s="23" t="str">
        <f aca="false">'Base Despesas'!C156</f>
        <v>Medicina do trabalho</v>
      </c>
      <c r="D156" s="24" t="n">
        <f aca="false">'Base Despesas'!D156</f>
        <v>190</v>
      </c>
      <c r="E156" s="23" t="n">
        <f aca="false">'Base Despesas'!E156</f>
        <v>5</v>
      </c>
      <c r="F156" s="23" t="str">
        <f aca="false">'Base Despesas'!F156</f>
        <v>Boleto</v>
      </c>
      <c r="G156" s="23" t="str">
        <f aca="false">'Base Despesas'!G156</f>
        <v>PAGO</v>
      </c>
      <c r="H156" s="23" t="str">
        <f aca="false">'Base Despesas'!H156</f>
        <v>À VISTA</v>
      </c>
      <c r="I156" s="35" t="n">
        <f aca="false">'Base Despesas'!I156</f>
        <v>46023</v>
      </c>
      <c r="J156" s="23" t="str">
        <f aca="false">IF(OR(B156="Salários e Benefícios",B156="Licenças / Ferramentas",B156="Custos Fixos"),"Fixa","Variável")</f>
        <v>Variável</v>
      </c>
      <c r="K156" s="23" t="str">
        <f aca="false">IF(G156="PAGO","OK",IF(D156&gt;0,"⚠ Revisar","-"))</f>
        <v>OK</v>
      </c>
    </row>
    <row r="157" customFormat="false" ht="15" hidden="false" customHeight="false" outlineLevel="0" collapsed="false">
      <c r="A157" s="23" t="str">
        <f aca="false">'Base Despesas'!A157</f>
        <v>Março</v>
      </c>
      <c r="B157" s="23" t="str">
        <f aca="false">'Base Despesas'!B157</f>
        <v>Administrativo</v>
      </c>
      <c r="C157" s="23" t="str">
        <f aca="false">'Base Despesas'!C157</f>
        <v>Medicina do trabalho</v>
      </c>
      <c r="D157" s="24" t="n">
        <f aca="false">'Base Despesas'!D157</f>
        <v>190</v>
      </c>
      <c r="E157" s="23" t="n">
        <f aca="false">'Base Despesas'!E157</f>
        <v>5</v>
      </c>
      <c r="F157" s="23" t="n">
        <f aca="false">'Base Despesas'!F157</f>
        <v>0</v>
      </c>
      <c r="G157" s="23" t="n">
        <f aca="false">'Base Despesas'!G157</f>
        <v>0</v>
      </c>
      <c r="H157" s="23" t="n">
        <f aca="false">'Base Despesas'!H157</f>
        <v>0</v>
      </c>
      <c r="I157" s="23" t="n">
        <f aca="false">'Base Despesas'!I157</f>
        <v>0</v>
      </c>
      <c r="J157" s="23" t="str">
        <f aca="false">IF(OR(B157="Salários e Benefícios",B157="Licenças / Ferramentas",B157="Custos Fixos"),"Fixa","Variável")</f>
        <v>Variável</v>
      </c>
      <c r="K157" s="23" t="str">
        <f aca="false">IF(G157="PAGO","OK",IF(D157&gt;0,"⚠ Revisar","-"))</f>
        <v>⚠ Revisar</v>
      </c>
    </row>
    <row r="158" customFormat="false" ht="15" hidden="false" customHeight="false" outlineLevel="0" collapsed="false">
      <c r="A158" s="23" t="str">
        <f aca="false">'Base Despesas'!A158</f>
        <v>Abril</v>
      </c>
      <c r="B158" s="23" t="str">
        <f aca="false">'Base Despesas'!B158</f>
        <v>Administrativo</v>
      </c>
      <c r="C158" s="23" t="str">
        <f aca="false">'Base Despesas'!C158</f>
        <v>Medicina do trabalho</v>
      </c>
      <c r="D158" s="24" t="n">
        <f aca="false">'Base Despesas'!D158</f>
        <v>190</v>
      </c>
      <c r="E158" s="23" t="n">
        <f aca="false">'Base Despesas'!E158</f>
        <v>5</v>
      </c>
      <c r="F158" s="23" t="str">
        <f aca="false">'Base Despesas'!F158</f>
        <v>Boleto</v>
      </c>
      <c r="G158" s="23" t="n">
        <f aca="false">'Base Despesas'!G158</f>
        <v>0</v>
      </c>
      <c r="H158" s="23" t="str">
        <f aca="false">'Base Despesas'!H158</f>
        <v>À VISTA</v>
      </c>
      <c r="I158" s="23" t="n">
        <f aca="false">'Base Despesas'!I158</f>
        <v>0</v>
      </c>
      <c r="J158" s="23" t="str">
        <f aca="false">IF(OR(B158="Salários e Benefícios",B158="Licenças / Ferramentas",B158="Custos Fixos"),"Fixa","Variável")</f>
        <v>Variável</v>
      </c>
      <c r="K158" s="23" t="str">
        <f aca="false">IF(G158="PAGO","OK",IF(D158&gt;0,"⚠ Revisar","-"))</f>
        <v>⚠ Revisar</v>
      </c>
    </row>
    <row r="159" customFormat="false" ht="15" hidden="false" customHeight="false" outlineLevel="0" collapsed="false">
      <c r="A159" s="23" t="str">
        <f aca="false">'Base Despesas'!A159</f>
        <v>Maio</v>
      </c>
      <c r="B159" s="23" t="str">
        <f aca="false">'Base Despesas'!B159</f>
        <v>Administrativo</v>
      </c>
      <c r="C159" s="23" t="str">
        <f aca="false">'Base Despesas'!C159</f>
        <v>Medicina do trabalho</v>
      </c>
      <c r="D159" s="24" t="n">
        <f aca="false">'Base Despesas'!D159</f>
        <v>190</v>
      </c>
      <c r="E159" s="23" t="n">
        <f aca="false">'Base Despesas'!E159</f>
        <v>5</v>
      </c>
      <c r="F159" s="23" t="str">
        <f aca="false">'Base Despesas'!F159</f>
        <v>Boleto</v>
      </c>
      <c r="G159" s="23" t="str">
        <f aca="false">'Base Despesas'!G159</f>
        <v>PAGO</v>
      </c>
      <c r="H159" s="23" t="str">
        <f aca="false">'Base Despesas'!H159</f>
        <v>À VISTA</v>
      </c>
      <c r="I159" s="35" t="n">
        <f aca="false">'Base Despesas'!I159</f>
        <v>45992</v>
      </c>
      <c r="J159" s="23" t="str">
        <f aca="false">IF(OR(B159="Salários e Benefícios",B159="Licenças / Ferramentas",B159="Custos Fixos"),"Fixa","Variável")</f>
        <v>Variável</v>
      </c>
      <c r="K159" s="23" t="str">
        <f aca="false">IF(G159="PAGO","OK",IF(D159&gt;0,"⚠ Revisar","-"))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9" activeCellId="0" sqref="E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0" width="19.52"/>
    <col collapsed="false" customWidth="true" hidden="false" outlineLevel="0" max="11" min="4" style="1" width="16"/>
  </cols>
  <sheetData>
    <row r="1" customFormat="false" ht="19.7" hidden="false" customHeight="false" outlineLevel="0" collapsed="false">
      <c r="A1" s="26" t="s">
        <v>104</v>
      </c>
    </row>
    <row r="2" customFormat="false" ht="15" hidden="false" customHeight="false" outlineLevel="0" collapsed="false">
      <c r="A2" s="3" t="s">
        <v>105</v>
      </c>
    </row>
    <row r="4" customFormat="false" ht="15" hidden="false" customHeight="false" outlineLevel="0" collapsed="false">
      <c r="A4" s="37" t="s">
        <v>9</v>
      </c>
      <c r="B4" s="24" t="n">
        <f aca="false">'Fluxo de Caixa'!L6</f>
        <v>18187.49</v>
      </c>
      <c r="H4" s="36" t="s">
        <v>106</v>
      </c>
      <c r="I4" s="36" t="s">
        <v>107</v>
      </c>
      <c r="J4" s="36" t="s">
        <v>108</v>
      </c>
      <c r="K4" s="36" t="s">
        <v>109</v>
      </c>
    </row>
    <row r="5" customFormat="false" ht="15" hidden="false" customHeight="false" outlineLevel="0" collapsed="false">
      <c r="A5" s="37" t="s">
        <v>110</v>
      </c>
      <c r="B5" s="24" t="n">
        <f aca="false">AVERAGEIF('Resumo Mensal'!B5:B16,"&gt;0")</f>
        <v>29736.6666666667</v>
      </c>
      <c r="H5" s="38" t="n">
        <v>0</v>
      </c>
      <c r="I5" s="24" t="n">
        <f aca="false">$B$6*H5</f>
        <v>0</v>
      </c>
      <c r="J5" s="24" t="n">
        <f aca="false">$B$5-($B$6*(1-H5))</f>
        <v>1089.27866666667</v>
      </c>
      <c r="K5" s="39" t="n">
        <f aca="false">IFERROR($B$4/($B$6*(1-H5)),0)</f>
        <v>0.634874285920936</v>
      </c>
    </row>
    <row r="6" customFormat="false" ht="15" hidden="false" customHeight="false" outlineLevel="0" collapsed="false">
      <c r="A6" s="37" t="s">
        <v>111</v>
      </c>
      <c r="B6" s="24" t="n">
        <f aca="false">AVERAGEIF('Resumo Mensal'!D5:D16,"&gt;0")</f>
        <v>28647.388</v>
      </c>
      <c r="H6" s="38" t="n">
        <v>0.05</v>
      </c>
      <c r="I6" s="24" t="n">
        <f aca="false">$B$6*H6</f>
        <v>1432.3694</v>
      </c>
      <c r="J6" s="24" t="n">
        <f aca="false">$B$5-($B$6*(1-H6))</f>
        <v>2521.64806666667</v>
      </c>
      <c r="K6" s="39" t="n">
        <f aca="false">IFERROR($B$4/($B$6*(1-H6)),0)</f>
        <v>0.668288722022038</v>
      </c>
    </row>
    <row r="7" customFormat="false" ht="15" hidden="false" customHeight="false" outlineLevel="0" collapsed="false">
      <c r="A7" s="37" t="s">
        <v>112</v>
      </c>
      <c r="B7" s="40" t="n">
        <v>0.05</v>
      </c>
      <c r="H7" s="38" t="n">
        <v>0.1</v>
      </c>
      <c r="I7" s="24" t="n">
        <f aca="false">$B$6*H7</f>
        <v>2864.7388</v>
      </c>
      <c r="J7" s="24" t="n">
        <f aca="false">$B$5-($B$6*(1-H7))</f>
        <v>3954.01746666667</v>
      </c>
      <c r="K7" s="39" t="n">
        <f aca="false">IFERROR($B$4/($B$6*(1-H7)),0)</f>
        <v>0.705415873245485</v>
      </c>
    </row>
    <row r="8" customFormat="false" ht="15" hidden="false" customHeight="false" outlineLevel="0" collapsed="false">
      <c r="A8" s="37" t="s">
        <v>113</v>
      </c>
      <c r="B8" s="40" t="n">
        <v>0.02</v>
      </c>
      <c r="H8" s="38" t="n">
        <v>0.15</v>
      </c>
      <c r="I8" s="24" t="n">
        <f aca="false">$B$6*H8</f>
        <v>4297.1082</v>
      </c>
      <c r="J8" s="24" t="n">
        <f aca="false">$B$5-($B$6*(1-H8))</f>
        <v>5386.38686666667</v>
      </c>
      <c r="K8" s="39" t="n">
        <f aca="false">IFERROR($B$4/($B$6*(1-H8)),0)</f>
        <v>0.746910924612866</v>
      </c>
    </row>
    <row r="9" customFormat="false" ht="15" hidden="false" customHeight="false" outlineLevel="0" collapsed="false">
      <c r="A9" s="37" t="s">
        <v>114</v>
      </c>
      <c r="B9" s="40" t="n">
        <v>0.1</v>
      </c>
      <c r="H9" s="38" t="n">
        <v>0.2</v>
      </c>
      <c r="I9" s="24" t="n">
        <f aca="false">$B$6*H9</f>
        <v>5729.4776</v>
      </c>
      <c r="J9" s="24" t="n">
        <f aca="false">$B$5-($B$6*(1-H9))</f>
        <v>6818.75626666667</v>
      </c>
      <c r="K9" s="39" t="n">
        <f aca="false">IFERROR($B$4/($B$6*(1-H9)),0)</f>
        <v>0.793592857401171</v>
      </c>
    </row>
    <row r="12" customFormat="false" ht="15" hidden="false" customHeight="false" outlineLevel="0" collapsed="false">
      <c r="A12" s="22" t="s">
        <v>51</v>
      </c>
      <c r="B12" s="22" t="s">
        <v>115</v>
      </c>
      <c r="C12" s="22" t="s">
        <v>116</v>
      </c>
      <c r="D12" s="22" t="s">
        <v>117</v>
      </c>
      <c r="E12" s="22" t="s">
        <v>5</v>
      </c>
      <c r="F12" s="22" t="s">
        <v>118</v>
      </c>
    </row>
    <row r="13" customFormat="false" ht="15" hidden="false" customHeight="false" outlineLevel="0" collapsed="false">
      <c r="A13" s="23" t="s">
        <v>24</v>
      </c>
      <c r="B13" s="24" t="n">
        <f aca="false">$B$5*(1+$B$7)</f>
        <v>31223.5</v>
      </c>
      <c r="C13" s="24" t="n">
        <f aca="false">$B$6*(1+$B$8)</f>
        <v>29220.33576</v>
      </c>
      <c r="D13" s="24" t="n">
        <f aca="false">C13*(1-$B$9)</f>
        <v>26298.302184</v>
      </c>
      <c r="E13" s="24" t="n">
        <f aca="false">B13-D13</f>
        <v>4925.197816</v>
      </c>
      <c r="F13" s="24" t="n">
        <f aca="false">$B$4+E13</f>
        <v>23112.687816</v>
      </c>
    </row>
    <row r="14" customFormat="false" ht="15" hidden="false" customHeight="false" outlineLevel="0" collapsed="false">
      <c r="A14" s="23" t="s">
        <v>28</v>
      </c>
      <c r="B14" s="24" t="n">
        <f aca="false">B13*(1+$B$7)</f>
        <v>32784.675</v>
      </c>
      <c r="C14" s="24" t="n">
        <f aca="false">C13*(1+$B$8)</f>
        <v>29804.7424752</v>
      </c>
      <c r="D14" s="24" t="n">
        <f aca="false">C14*(1-$B$9)</f>
        <v>26824.26822768</v>
      </c>
      <c r="E14" s="24" t="n">
        <f aca="false">B14-D14</f>
        <v>5960.40677232001</v>
      </c>
      <c r="F14" s="24" t="n">
        <f aca="false">F13+E14</f>
        <v>29073.09458832</v>
      </c>
    </row>
    <row r="15" customFormat="false" ht="15" hidden="false" customHeight="false" outlineLevel="0" collapsed="false">
      <c r="A15" s="23" t="s">
        <v>31</v>
      </c>
      <c r="B15" s="24" t="n">
        <f aca="false">B14*(1+$B$7)</f>
        <v>34423.90875</v>
      </c>
      <c r="C15" s="24" t="n">
        <f aca="false">C14*(1+$B$8)</f>
        <v>30400.837324704</v>
      </c>
      <c r="D15" s="24" t="n">
        <f aca="false">C15*(1-$B$9)</f>
        <v>27360.7535922336</v>
      </c>
      <c r="E15" s="24" t="n">
        <f aca="false">B15-D15</f>
        <v>7063.15515776641</v>
      </c>
      <c r="F15" s="24" t="n">
        <f aca="false">F14+E15</f>
        <v>36136.2497460864</v>
      </c>
    </row>
    <row r="16" customFormat="false" ht="15" hidden="false" customHeight="false" outlineLevel="0" collapsed="false">
      <c r="A16" s="23" t="s">
        <v>34</v>
      </c>
      <c r="B16" s="24" t="n">
        <f aca="false">B15*(1+$B$7)</f>
        <v>36145.1041875</v>
      </c>
      <c r="C16" s="24" t="n">
        <f aca="false">C15*(1+$B$8)</f>
        <v>31008.8540711981</v>
      </c>
      <c r="D16" s="24" t="n">
        <f aca="false">C16*(1-$B$9)</f>
        <v>27907.9686640783</v>
      </c>
      <c r="E16" s="24" t="n">
        <f aca="false">B16-D16</f>
        <v>8237.13552342173</v>
      </c>
      <c r="F16" s="24" t="n">
        <f aca="false">F15+E16</f>
        <v>44373.3852695082</v>
      </c>
    </row>
    <row r="17" customFormat="false" ht="15" hidden="false" customHeight="false" outlineLevel="0" collapsed="false">
      <c r="A17" s="23" t="s">
        <v>38</v>
      </c>
      <c r="B17" s="24" t="n">
        <f aca="false">B16*(1+$B$7)</f>
        <v>37952.359396875</v>
      </c>
      <c r="C17" s="24" t="n">
        <f aca="false">C16*(1+$B$8)</f>
        <v>31629.031152622</v>
      </c>
      <c r="D17" s="24" t="n">
        <f aca="false">C17*(1-$B$9)</f>
        <v>28466.1280373598</v>
      </c>
      <c r="E17" s="24" t="n">
        <f aca="false">B17-D17</f>
        <v>9486.23135951517</v>
      </c>
      <c r="F17" s="24" t="n">
        <f aca="false">F16+E17</f>
        <v>53859.6166290233</v>
      </c>
    </row>
    <row r="18" customFormat="false" ht="15" hidden="false" customHeight="false" outlineLevel="0" collapsed="false">
      <c r="A18" s="23" t="s">
        <v>41</v>
      </c>
      <c r="B18" s="24" t="n">
        <f aca="false">B17*(1+$B$7)</f>
        <v>39849.9773667188</v>
      </c>
      <c r="C18" s="24" t="n">
        <f aca="false">C17*(1+$B$8)</f>
        <v>32261.6117756745</v>
      </c>
      <c r="D18" s="24" t="n">
        <f aca="false">C18*(1-$B$9)</f>
        <v>29035.450598107</v>
      </c>
      <c r="E18" s="24" t="n">
        <f aca="false">B18-D18</f>
        <v>10814.5267686117</v>
      </c>
      <c r="F18" s="24" t="n">
        <f aca="false">F17+E18</f>
        <v>64674.143397635</v>
      </c>
    </row>
    <row r="19" customFormat="false" ht="15" hidden="false" customHeight="false" outlineLevel="0" collapsed="false">
      <c r="A19" s="23" t="s">
        <v>43</v>
      </c>
      <c r="B19" s="24" t="n">
        <f aca="false">B18*(1+$B$7)</f>
        <v>41842.4762350547</v>
      </c>
      <c r="C19" s="24" t="n">
        <f aca="false">C18*(1+$B$8)</f>
        <v>32906.844011188</v>
      </c>
      <c r="D19" s="24" t="n">
        <f aca="false">C19*(1-$B$9)</f>
        <v>29616.1596100692</v>
      </c>
      <c r="E19" s="24" t="n">
        <f aca="false">B19-D19</f>
        <v>12226.3166249855</v>
      </c>
      <c r="F19" s="24" t="n">
        <f aca="false">F18+E19</f>
        <v>76900.4600226206</v>
      </c>
    </row>
    <row r="20" customFormat="false" ht="15" hidden="false" customHeight="false" outlineLevel="0" collapsed="false">
      <c r="A20" s="23" t="s">
        <v>44</v>
      </c>
      <c r="B20" s="24" t="n">
        <f aca="false">B19*(1+$B$7)</f>
        <v>43934.6000468074</v>
      </c>
      <c r="C20" s="24" t="n">
        <f aca="false">C19*(1+$B$8)</f>
        <v>33564.9808914117</v>
      </c>
      <c r="D20" s="24" t="n">
        <f aca="false">C20*(1-$B$9)</f>
        <v>30208.4828022706</v>
      </c>
      <c r="E20" s="24" t="n">
        <f aca="false">B20-D20</f>
        <v>13726.1172445369</v>
      </c>
      <c r="F20" s="24" t="n">
        <f aca="false">F19+E20</f>
        <v>90626.5772671574</v>
      </c>
    </row>
    <row r="21" customFormat="false" ht="15" hidden="false" customHeight="false" outlineLevel="0" collapsed="false">
      <c r="A21" s="23" t="s">
        <v>45</v>
      </c>
      <c r="B21" s="24" t="n">
        <f aca="false">B20*(1+$B$7)</f>
        <v>46131.3300491478</v>
      </c>
      <c r="C21" s="24" t="n">
        <f aca="false">C20*(1+$B$8)</f>
        <v>34236.28050924</v>
      </c>
      <c r="D21" s="24" t="n">
        <f aca="false">C21*(1-$B$9)</f>
        <v>30812.652458316</v>
      </c>
      <c r="E21" s="24" t="n">
        <f aca="false">B21-D21</f>
        <v>15318.6775908318</v>
      </c>
      <c r="F21" s="24" t="n">
        <f aca="false">F20+E21</f>
        <v>105945.254857989</v>
      </c>
    </row>
    <row r="22" customFormat="false" ht="15" hidden="false" customHeight="false" outlineLevel="0" collapsed="false">
      <c r="A22" s="23" t="s">
        <v>46</v>
      </c>
      <c r="B22" s="24" t="n">
        <f aca="false">B21*(1+$B$7)</f>
        <v>48437.8965516052</v>
      </c>
      <c r="C22" s="24" t="n">
        <f aca="false">C21*(1+$B$8)</f>
        <v>34921.0061194248</v>
      </c>
      <c r="D22" s="24" t="n">
        <f aca="false">C22*(1-$B$9)</f>
        <v>31428.9055074823</v>
      </c>
      <c r="E22" s="24" t="n">
        <f aca="false">B22-D22</f>
        <v>17008.9910441229</v>
      </c>
      <c r="F22" s="24" t="n">
        <f aca="false">F21+E22</f>
        <v>122954.245902112</v>
      </c>
    </row>
    <row r="23" customFormat="false" ht="15" hidden="false" customHeight="false" outlineLevel="0" collapsed="false">
      <c r="A23" s="23" t="s">
        <v>47</v>
      </c>
      <c r="B23" s="24" t="n">
        <f aca="false">B22*(1+$B$7)</f>
        <v>50859.7913791855</v>
      </c>
      <c r="C23" s="24" t="n">
        <f aca="false">C22*(1+$B$8)</f>
        <v>35619.4262418133</v>
      </c>
      <c r="D23" s="24" t="n">
        <f aca="false">C23*(1-$B$9)</f>
        <v>32057.4836176319</v>
      </c>
      <c r="E23" s="24" t="n">
        <f aca="false">B23-D23</f>
        <v>18802.3077615535</v>
      </c>
      <c r="F23" s="24" t="n">
        <f aca="false">F22+E23</f>
        <v>141756.553663666</v>
      </c>
    </row>
    <row r="24" customFormat="false" ht="15" hidden="false" customHeight="false" outlineLevel="0" collapsed="false">
      <c r="A24" s="23" t="s">
        <v>48</v>
      </c>
      <c r="B24" s="24" t="n">
        <f aca="false">B23*(1+$B$7)</f>
        <v>53402.7809481447</v>
      </c>
      <c r="C24" s="24" t="n">
        <f aca="false">C23*(1+$B$8)</f>
        <v>36331.8147666495</v>
      </c>
      <c r="D24" s="24" t="n">
        <f aca="false">C24*(1-$B$9)</f>
        <v>32698.6332899846</v>
      </c>
      <c r="E24" s="24" t="n">
        <f aca="false">B24-D24</f>
        <v>20704.1476581602</v>
      </c>
      <c r="F24" s="24" t="n">
        <f aca="false">F23+E24</f>
        <v>162460.701321826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70"/>
  </cols>
  <sheetData>
    <row r="1" customFormat="false" ht="19.7" hidden="false" customHeight="false" outlineLevel="0" collapsed="false">
      <c r="A1" s="26" t="s">
        <v>119</v>
      </c>
    </row>
    <row r="3" customFormat="false" ht="15" hidden="false" customHeight="false" outlineLevel="0" collapsed="false">
      <c r="A3" s="41" t="s">
        <v>120</v>
      </c>
      <c r="B3" s="42" t="s">
        <v>121</v>
      </c>
    </row>
    <row r="4" customFormat="false" ht="15" hidden="false" customHeight="false" outlineLevel="0" collapsed="false">
      <c r="A4" s="41" t="s">
        <v>122</v>
      </c>
      <c r="B4" s="42" t="s">
        <v>123</v>
      </c>
    </row>
    <row r="5" customFormat="false" ht="15" hidden="false" customHeight="false" outlineLevel="0" collapsed="false">
      <c r="A5" s="41" t="s">
        <v>124</v>
      </c>
      <c r="B5" s="42" t="s">
        <v>125</v>
      </c>
    </row>
    <row r="6" customFormat="false" ht="15" hidden="false" customHeight="false" outlineLevel="0" collapsed="false">
      <c r="A6" s="41" t="s">
        <v>126</v>
      </c>
      <c r="B6" s="42" t="s">
        <v>127</v>
      </c>
    </row>
    <row r="7" customFormat="false" ht="15" hidden="false" customHeight="false" outlineLevel="0" collapsed="false">
      <c r="A7" s="41" t="s">
        <v>128</v>
      </c>
      <c r="B7" s="42" t="s">
        <v>129</v>
      </c>
    </row>
    <row r="8" customFormat="false" ht="15" hidden="false" customHeight="false" outlineLevel="0" collapsed="false">
      <c r="A8" s="41" t="s">
        <v>130</v>
      </c>
      <c r="B8" s="42" t="s">
        <v>131</v>
      </c>
    </row>
    <row r="9" customFormat="false" ht="15" hidden="false" customHeight="false" outlineLevel="0" collapsed="false">
      <c r="A9" s="41" t="s">
        <v>132</v>
      </c>
      <c r="B9" s="42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"/>
  <sheetViews>
    <sheetView showFormulas="false" showGridLines="false" showRowColHeaders="true" showZeros="true" rightToLeft="false" tabSelected="false" showOutlineSymbols="true" defaultGridColor="true" view="normal" topLeftCell="R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5" min="2" style="1" width="18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12"/>
    <col collapsed="false" customWidth="true" hidden="false" outlineLevel="0" max="9" min="9" style="1" width="3"/>
    <col collapsed="false" customWidth="true" hidden="false" outlineLevel="0" max="10" min="10" style="1" width="28"/>
    <col collapsed="false" customWidth="true" hidden="false" outlineLevel="0" max="11" min="11" style="1" width="18"/>
    <col collapsed="false" customWidth="true" hidden="false" outlineLevel="0" max="12" min="12" style="1" width="14"/>
    <col collapsed="false" customWidth="true" hidden="false" outlineLevel="0" max="13" min="13" style="1" width="3"/>
    <col collapsed="false" customWidth="true" hidden="false" outlineLevel="0" max="18" min="14" style="1" width="12"/>
  </cols>
  <sheetData>
    <row r="1" customFormat="false" ht="22.05" hidden="false" customHeight="false" outlineLevel="0" collapsed="false">
      <c r="A1" s="43" t="s">
        <v>134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</row>
    <row r="2" customFormat="false" ht="15" hidden="false" customHeight="false" outlineLevel="0" collapsed="false">
      <c r="A2" s="44" t="s">
        <v>135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</row>
    <row r="4" customFormat="false" ht="15" hidden="false" customHeight="false" outlineLevel="0" collapsed="false">
      <c r="B4" s="45" t="s">
        <v>136</v>
      </c>
      <c r="C4" s="45"/>
      <c r="D4" s="45"/>
      <c r="F4" s="45" t="s">
        <v>137</v>
      </c>
      <c r="G4" s="45"/>
      <c r="H4" s="45"/>
      <c r="J4" s="45" t="s">
        <v>5</v>
      </c>
      <c r="K4" s="45"/>
      <c r="L4" s="45"/>
      <c r="N4" s="45" t="s">
        <v>6</v>
      </c>
      <c r="O4" s="45"/>
      <c r="P4" s="45"/>
    </row>
    <row r="5" customFormat="false" ht="15" hidden="false" customHeight="false" outlineLevel="0" collapsed="false">
      <c r="B5" s="46" t="n">
        <f aca="false">ROUND(SUM(B12:B23),2)</f>
        <v>89210</v>
      </c>
      <c r="C5" s="46"/>
      <c r="D5" s="46"/>
      <c r="F5" s="46" t="n">
        <f aca="false">ROUND(SUM(D12:D23),2)</f>
        <v>143236.94</v>
      </c>
      <c r="G5" s="46"/>
      <c r="H5" s="46"/>
      <c r="J5" s="46" t="n">
        <f aca="false">ROUND(SUM(E12:E23),2)</f>
        <v>-54026.94</v>
      </c>
      <c r="K5" s="46"/>
      <c r="L5" s="46"/>
      <c r="N5" s="47" t="n">
        <f aca="false">IFERROR(ROUND(J5/B5,4),0)</f>
        <v>-0.6056</v>
      </c>
      <c r="O5" s="47"/>
      <c r="P5" s="47"/>
    </row>
    <row r="6" customFormat="false" ht="15" hidden="false" customHeight="false" outlineLevel="0" collapsed="false">
      <c r="B6" s="46"/>
      <c r="C6" s="46"/>
      <c r="D6" s="46"/>
      <c r="F6" s="46"/>
      <c r="G6" s="46"/>
      <c r="H6" s="46"/>
      <c r="J6" s="46"/>
      <c r="K6" s="46"/>
      <c r="L6" s="46"/>
      <c r="N6" s="47"/>
      <c r="O6" s="47"/>
      <c r="P6" s="47"/>
    </row>
    <row r="7" customFormat="false" ht="15" hidden="false" customHeight="false" outlineLevel="0" collapsed="false">
      <c r="B7" s="48" t="s">
        <v>138</v>
      </c>
      <c r="C7" s="48"/>
      <c r="D7" s="48"/>
      <c r="F7" s="48" t="s">
        <v>139</v>
      </c>
      <c r="G7" s="48"/>
      <c r="H7" s="48"/>
      <c r="J7" s="48" t="s">
        <v>140</v>
      </c>
      <c r="K7" s="48"/>
      <c r="L7" s="48"/>
      <c r="N7" s="48" t="s">
        <v>141</v>
      </c>
      <c r="O7" s="48"/>
      <c r="P7" s="48"/>
    </row>
    <row r="8" customFormat="false" ht="15" hidden="false" customHeight="false" outlineLevel="0" collapsed="false">
      <c r="B8" s="49" t="n">
        <f aca="false">ROUND(SUM(C12:C23),2)</f>
        <v>8600</v>
      </c>
      <c r="C8" s="49"/>
      <c r="D8" s="49"/>
      <c r="F8" s="49" t="n">
        <f aca="false">IFERROR(ROUND(AVERAGEIF(D12:D23,"&gt;0"),2),0)</f>
        <v>28647.39</v>
      </c>
      <c r="G8" s="49"/>
      <c r="H8" s="49"/>
      <c r="J8" s="49" t="n">
        <f aca="false">ROUND(B29,2)</f>
        <v>18187.49</v>
      </c>
      <c r="K8" s="49"/>
      <c r="L8" s="49"/>
      <c r="N8" s="49" t="n">
        <f aca="false">ROUND(G23,2)</f>
        <v>-35839.45</v>
      </c>
      <c r="O8" s="49"/>
      <c r="P8" s="49"/>
    </row>
    <row r="9" customFormat="false" ht="15" hidden="false" customHeight="false" outlineLevel="0" collapsed="false">
      <c r="B9" s="49"/>
      <c r="C9" s="49"/>
      <c r="D9" s="49"/>
      <c r="F9" s="49"/>
      <c r="G9" s="49"/>
      <c r="H9" s="49"/>
      <c r="J9" s="49"/>
      <c r="K9" s="49"/>
      <c r="L9" s="49"/>
      <c r="N9" s="49"/>
      <c r="O9" s="49"/>
      <c r="P9" s="49"/>
    </row>
    <row r="11" customFormat="false" ht="15" hidden="false" customHeight="false" outlineLevel="0" collapsed="false">
      <c r="A11" s="50" t="s">
        <v>51</v>
      </c>
      <c r="B11" s="50" t="s">
        <v>142</v>
      </c>
      <c r="C11" s="50" t="s">
        <v>143</v>
      </c>
      <c r="D11" s="50" t="s">
        <v>144</v>
      </c>
      <c r="E11" s="50" t="s">
        <v>145</v>
      </c>
      <c r="F11" s="50" t="s">
        <v>6</v>
      </c>
      <c r="G11" s="50" t="s">
        <v>146</v>
      </c>
      <c r="H11" s="50" t="s">
        <v>147</v>
      </c>
      <c r="J11" s="51" t="s">
        <v>22</v>
      </c>
      <c r="K11" s="51" t="s">
        <v>148</v>
      </c>
      <c r="L11" s="51" t="s">
        <v>149</v>
      </c>
    </row>
    <row r="12" customFormat="false" ht="15" hidden="false" customHeight="false" outlineLevel="0" collapsed="false">
      <c r="A12" s="52" t="s">
        <v>24</v>
      </c>
      <c r="B12" s="53" t="n">
        <f aca="false">ROUND(SUMIFS('Base Receitas'!$F:$F,'Base Receitas'!$A:$A,$A12),2)</f>
        <v>30260</v>
      </c>
      <c r="C12" s="53" t="n">
        <f aca="false">ROUND(SUMIFS('Base Receitas'!$J:$J,'Base Receitas'!$A:$A,$A12),2)</f>
        <v>1500</v>
      </c>
      <c r="D12" s="53" t="n">
        <f aca="false">ROUND(SUMIFS('Base Despesas'!$D:$D,'Base Despesas'!$A:$A,$A12),2)</f>
        <v>28429.69</v>
      </c>
      <c r="E12" s="53" t="n">
        <f aca="false">ROUND(B12-D12,2)</f>
        <v>1830.31</v>
      </c>
      <c r="F12" s="54" t="n">
        <f aca="false">IFERROR(ROUND(E12/B12,4),0)</f>
        <v>0.0605</v>
      </c>
      <c r="G12" s="53" t="n">
        <f aca="false">ROUND($B$29+E12,2)</f>
        <v>20017.8</v>
      </c>
      <c r="H12" s="52" t="str">
        <f aca="false">IF(E12&lt;0,"Risco",IF(F12&lt;0.1,"Atenção",IF(F12&lt;0.25,"Boa","Forte")))</f>
        <v>Atenção</v>
      </c>
      <c r="J12" s="55" t="s">
        <v>69</v>
      </c>
      <c r="K12" s="56" t="n">
        <f aca="false">ROUND(SUMIFS('Base Despesas'!$D:$D,'Base Despesas'!$B:$B,J12),2)</f>
        <v>88821.7</v>
      </c>
      <c r="L12" s="57" t="n">
        <f aca="false">IFERROR(ROUND(K12/SUM($K$12:$K$18),4),0)</f>
        <v>0.6201</v>
      </c>
    </row>
    <row r="13" customFormat="false" ht="15" hidden="false" customHeight="false" outlineLevel="0" collapsed="false">
      <c r="A13" s="52" t="s">
        <v>28</v>
      </c>
      <c r="B13" s="53" t="n">
        <f aca="false">ROUND(SUMIFS('Base Receitas'!$F:$F,'Base Receitas'!$A:$A,$A13),2)</f>
        <v>29900</v>
      </c>
      <c r="C13" s="53" t="n">
        <f aca="false">ROUND(SUMIFS('Base Receitas'!$J:$J,'Base Receitas'!$A:$A,$A13),2)</f>
        <v>7100</v>
      </c>
      <c r="D13" s="53" t="n">
        <f aca="false">ROUND(SUMIFS('Base Despesas'!$D:$D,'Base Despesas'!$A:$A,$A13),2)</f>
        <v>29540.35</v>
      </c>
      <c r="E13" s="53" t="n">
        <f aca="false">ROUND(B13-D13,2)</f>
        <v>359.65</v>
      </c>
      <c r="F13" s="54" t="n">
        <f aca="false">IFERROR(ROUND(E13/B13,4),0)</f>
        <v>0.012</v>
      </c>
      <c r="G13" s="53" t="n">
        <f aca="false">ROUND(G12+E13,2)</f>
        <v>20377.45</v>
      </c>
      <c r="H13" s="52" t="str">
        <f aca="false">IF(E13&lt;0,"Risco",IF(F13&lt;0.1,"Atenção",IF(F13&lt;0.25,"Boa","Forte")))</f>
        <v>Atenção</v>
      </c>
      <c r="J13" s="55" t="s">
        <v>33</v>
      </c>
      <c r="K13" s="56" t="n">
        <f aca="false">ROUND(SUMIFS('Base Despesas'!$D:$D,'Base Despesas'!$B:$B,J13),2)</f>
        <v>17796.73</v>
      </c>
      <c r="L13" s="57" t="n">
        <f aca="false">IFERROR(ROUND(K13/SUM($K$12:$K$18),4),0)</f>
        <v>0.1242</v>
      </c>
    </row>
    <row r="14" customFormat="false" ht="15" hidden="false" customHeight="false" outlineLevel="0" collapsed="false">
      <c r="A14" s="52" t="s">
        <v>31</v>
      </c>
      <c r="B14" s="53" t="n">
        <f aca="false">ROUND(SUMIFS('Base Receitas'!$F:$F,'Base Receitas'!$A:$A,$A14),2)</f>
        <v>29050</v>
      </c>
      <c r="C14" s="53" t="n">
        <f aca="false">ROUND(SUMIFS('Base Receitas'!$J:$J,'Base Receitas'!$A:$A,$A14),2)</f>
        <v>0</v>
      </c>
      <c r="D14" s="53" t="n">
        <f aca="false">ROUND(SUMIFS('Base Despesas'!$D:$D,'Base Despesas'!$A:$A,$A14),2)</f>
        <v>28622.3</v>
      </c>
      <c r="E14" s="53" t="n">
        <f aca="false">ROUND(B14-D14,2)</f>
        <v>427.7</v>
      </c>
      <c r="F14" s="54" t="n">
        <f aca="false">IFERROR(ROUND(E14/B14,4),0)</f>
        <v>0.0147</v>
      </c>
      <c r="G14" s="53" t="n">
        <f aca="false">ROUND(G13+E14,2)</f>
        <v>20805.15</v>
      </c>
      <c r="H14" s="52" t="str">
        <f aca="false">IF(E14&lt;0,"Risco",IF(F14&lt;0.1,"Atenção",IF(F14&lt;0.25,"Boa","Forte")))</f>
        <v>Atenção</v>
      </c>
      <c r="J14" s="55" t="s">
        <v>37</v>
      </c>
      <c r="K14" s="56" t="n">
        <f aca="false">ROUND(SUMIFS('Base Despesas'!$D:$D,'Base Despesas'!$B:$B,J14),2)</f>
        <v>17500</v>
      </c>
      <c r="L14" s="57" t="n">
        <f aca="false">IFERROR(ROUND(K14/SUM($K$12:$K$18),4),0)</f>
        <v>0.1222</v>
      </c>
    </row>
    <row r="15" customFormat="false" ht="15" hidden="false" customHeight="false" outlineLevel="0" collapsed="false">
      <c r="A15" s="52" t="s">
        <v>34</v>
      </c>
      <c r="B15" s="53" t="n">
        <f aca="false">ROUND(SUMIFS('Base Receitas'!$F:$F,'Base Receitas'!$A:$A,$A15),2)</f>
        <v>0</v>
      </c>
      <c r="C15" s="53" t="n">
        <f aca="false">ROUND(SUMIFS('Base Receitas'!$J:$J,'Base Receitas'!$A:$A,$A15),2)</f>
        <v>0</v>
      </c>
      <c r="D15" s="53" t="n">
        <f aca="false">ROUND(SUMIFS('Base Despesas'!$D:$D,'Base Despesas'!$A:$A,$A15),2)</f>
        <v>28322.3</v>
      </c>
      <c r="E15" s="53" t="n">
        <f aca="false">ROUND(B15-D15,2)</f>
        <v>-28322.3</v>
      </c>
      <c r="F15" s="54" t="n">
        <f aca="false">IFERROR(ROUND(E15/B15,4),0)</f>
        <v>0</v>
      </c>
      <c r="G15" s="53" t="n">
        <f aca="false">ROUND(G14+E15,2)</f>
        <v>-7517.15</v>
      </c>
      <c r="H15" s="52" t="str">
        <f aca="false">IF(E15&lt;0,"Risco",IF(F15&lt;0.1,"Atenção",IF(F15&lt;0.25,"Boa","Forte")))</f>
        <v>Risco</v>
      </c>
      <c r="J15" s="55" t="s">
        <v>40</v>
      </c>
      <c r="K15" s="56" t="n">
        <f aca="false">ROUND(SUMIFS('Base Despesas'!$D:$D,'Base Despesas'!$B:$B,J15),2)</f>
        <v>441.5</v>
      </c>
      <c r="L15" s="57" t="n">
        <f aca="false">IFERROR(ROUND(K15/SUM($K$12:$K$18),4),0)</f>
        <v>0.0031</v>
      </c>
    </row>
    <row r="16" customFormat="false" ht="15" hidden="false" customHeight="false" outlineLevel="0" collapsed="false">
      <c r="A16" s="52" t="s">
        <v>38</v>
      </c>
      <c r="B16" s="53" t="n">
        <f aca="false">ROUND(SUMIFS('Base Receitas'!$F:$F,'Base Receitas'!$A:$A,$A16),2)</f>
        <v>0</v>
      </c>
      <c r="C16" s="53" t="n">
        <f aca="false">ROUND(SUMIFS('Base Receitas'!$J:$J,'Base Receitas'!$A:$A,$A16),2)</f>
        <v>0</v>
      </c>
      <c r="D16" s="53" t="n">
        <f aca="false">ROUND(SUMIFS('Base Despesas'!$D:$D,'Base Despesas'!$A:$A,$A16),2)</f>
        <v>28322.3</v>
      </c>
      <c r="E16" s="53" t="n">
        <f aca="false">ROUND(B16-D16,2)</f>
        <v>-28322.3</v>
      </c>
      <c r="F16" s="54" t="n">
        <f aca="false">IFERROR(ROUND(E16/B16,4),0)</f>
        <v>0</v>
      </c>
      <c r="G16" s="53" t="n">
        <f aca="false">ROUND(G15+E16,2)</f>
        <v>-35839.45</v>
      </c>
      <c r="H16" s="52" t="str">
        <f aca="false">IF(E16&lt;0,"Risco",IF(F16&lt;0.1,"Atenção",IF(F16&lt;0.25,"Boa","Forte")))</f>
        <v>Risco</v>
      </c>
      <c r="J16" s="55" t="s">
        <v>150</v>
      </c>
      <c r="K16" s="56" t="n">
        <f aca="false">ROUND(SUMIFS('Base Despesas'!$D:$D,'Base Despesas'!$B:$B,J16),2)</f>
        <v>0</v>
      </c>
      <c r="L16" s="57" t="n">
        <f aca="false">IFERROR(ROUND(K16/SUM($K$12:$K$18),4),0)</f>
        <v>0</v>
      </c>
    </row>
    <row r="17" customFormat="false" ht="15" hidden="false" customHeight="false" outlineLevel="0" collapsed="false">
      <c r="A17" s="52" t="s">
        <v>41</v>
      </c>
      <c r="B17" s="53" t="n">
        <f aca="false">ROUND(SUMIFS('Base Receitas'!$F:$F,'Base Receitas'!$A:$A,$A17),2)</f>
        <v>0</v>
      </c>
      <c r="C17" s="53" t="n">
        <f aca="false">ROUND(SUMIFS('Base Receitas'!$J:$J,'Base Receitas'!$A:$A,$A17),2)</f>
        <v>0</v>
      </c>
      <c r="D17" s="53" t="n">
        <f aca="false">ROUND(SUMIFS('Base Despesas'!$D:$D,'Base Despesas'!$A:$A,$A17),2)</f>
        <v>0</v>
      </c>
      <c r="E17" s="53" t="n">
        <f aca="false">ROUND(B17-D17,2)</f>
        <v>0</v>
      </c>
      <c r="F17" s="54" t="n">
        <f aca="false">IFERROR(ROUND(E17/B17,4),0)</f>
        <v>0</v>
      </c>
      <c r="G17" s="53" t="n">
        <f aca="false">ROUND(G16+E17,2)</f>
        <v>-35839.45</v>
      </c>
      <c r="H17" s="52" t="str">
        <f aca="false">IF(E17&lt;0,"Risco",IF(F17&lt;0.1,"Atenção",IF(F17&lt;0.25,"Boa","Forte")))</f>
        <v>Atenção</v>
      </c>
      <c r="J17" s="55" t="s">
        <v>30</v>
      </c>
      <c r="K17" s="56" t="n">
        <f aca="false">ROUND(SUMIFS('Base Despesas'!$D:$D,'Base Despesas'!$B:$B,J17),2)</f>
        <v>17727.01</v>
      </c>
      <c r="L17" s="57" t="n">
        <f aca="false">IFERROR(ROUND(K17/SUM($K$12:$K$18),4),0)</f>
        <v>0.1238</v>
      </c>
    </row>
    <row r="18" customFormat="false" ht="15" hidden="false" customHeight="false" outlineLevel="0" collapsed="false">
      <c r="A18" s="52" t="s">
        <v>43</v>
      </c>
      <c r="B18" s="53" t="n">
        <f aca="false">ROUND(SUMIFS('Base Receitas'!$F:$F,'Base Receitas'!$A:$A,$A18),2)</f>
        <v>0</v>
      </c>
      <c r="C18" s="53" t="n">
        <f aca="false">ROUND(SUMIFS('Base Receitas'!$J:$J,'Base Receitas'!$A:$A,$A18),2)</f>
        <v>0</v>
      </c>
      <c r="D18" s="53" t="n">
        <f aca="false">ROUND(SUMIFS('Base Despesas'!$D:$D,'Base Despesas'!$A:$A,$A18),2)</f>
        <v>0</v>
      </c>
      <c r="E18" s="53" t="n">
        <f aca="false">ROUND(B18-D18,2)</f>
        <v>0</v>
      </c>
      <c r="F18" s="54" t="n">
        <f aca="false">IFERROR(ROUND(E18/B18,4),0)</f>
        <v>0</v>
      </c>
      <c r="G18" s="53" t="n">
        <f aca="false">ROUND(G17+E18,2)</f>
        <v>-35839.45</v>
      </c>
      <c r="H18" s="52" t="str">
        <f aca="false">IF(E18&lt;0,"Risco",IF(F18&lt;0.1,"Atenção",IF(F18&lt;0.25,"Boa","Forte")))</f>
        <v>Atenção</v>
      </c>
      <c r="J18" s="55" t="s">
        <v>27</v>
      </c>
      <c r="K18" s="56" t="n">
        <f aca="false">ROUND(SUMIFS('Base Despesas'!$D:$D,'Base Despesas'!$B:$B,J18),2)</f>
        <v>950</v>
      </c>
      <c r="L18" s="57" t="n">
        <f aca="false">IFERROR(ROUND(K18/SUM($K$12:$K$18),4),0)</f>
        <v>0.0066</v>
      </c>
    </row>
    <row r="19" customFormat="false" ht="15" hidden="false" customHeight="false" outlineLevel="0" collapsed="false">
      <c r="A19" s="52" t="s">
        <v>44</v>
      </c>
      <c r="B19" s="53" t="n">
        <f aca="false">ROUND(SUMIFS('Base Receitas'!$F:$F,'Base Receitas'!$A:$A,$A19),2)</f>
        <v>0</v>
      </c>
      <c r="C19" s="53" t="n">
        <f aca="false">ROUND(SUMIFS('Base Receitas'!$J:$J,'Base Receitas'!$A:$A,$A19),2)</f>
        <v>0</v>
      </c>
      <c r="D19" s="53" t="n">
        <f aca="false">ROUND(SUMIFS('Base Despesas'!$D:$D,'Base Despesas'!$A:$A,$A19),2)</f>
        <v>0</v>
      </c>
      <c r="E19" s="53" t="n">
        <f aca="false">ROUND(B19-D19,2)</f>
        <v>0</v>
      </c>
      <c r="F19" s="54" t="n">
        <f aca="false">IFERROR(ROUND(E19/B19,4),0)</f>
        <v>0</v>
      </c>
      <c r="G19" s="53" t="n">
        <f aca="false">ROUND(G18+E19,2)</f>
        <v>-35839.45</v>
      </c>
      <c r="H19" s="52" t="str">
        <f aca="false">IF(E19&lt;0,"Risco",IF(F19&lt;0.1,"Atenção",IF(F19&lt;0.25,"Boa","Forte")))</f>
        <v>Atenção</v>
      </c>
    </row>
    <row r="20" customFormat="false" ht="15" hidden="false" customHeight="false" outlineLevel="0" collapsed="false">
      <c r="A20" s="52" t="s">
        <v>45</v>
      </c>
      <c r="B20" s="53" t="n">
        <f aca="false">ROUND(SUMIFS('Base Receitas'!$F:$F,'Base Receitas'!$A:$A,$A20),2)</f>
        <v>0</v>
      </c>
      <c r="C20" s="53" t="n">
        <f aca="false">ROUND(SUMIFS('Base Receitas'!$J:$J,'Base Receitas'!$A:$A,$A20),2)</f>
        <v>0</v>
      </c>
      <c r="D20" s="53" t="n">
        <f aca="false">ROUND(SUMIFS('Base Despesas'!$D:$D,'Base Despesas'!$A:$A,$A20),2)</f>
        <v>0</v>
      </c>
      <c r="E20" s="53" t="n">
        <f aca="false">ROUND(B20-D20,2)</f>
        <v>0</v>
      </c>
      <c r="F20" s="54" t="n">
        <f aca="false">IFERROR(ROUND(E20/B20,4),0)</f>
        <v>0</v>
      </c>
      <c r="G20" s="53" t="n">
        <f aca="false">ROUND(G19+E20,2)</f>
        <v>-35839.45</v>
      </c>
      <c r="H20" s="52" t="str">
        <f aca="false">IF(E20&lt;0,"Risco",IF(F20&lt;0.1,"Atenção",IF(F20&lt;0.25,"Boa","Forte")))</f>
        <v>Atenção</v>
      </c>
    </row>
    <row r="21" customFormat="false" ht="15" hidden="false" customHeight="false" outlineLevel="0" collapsed="false">
      <c r="A21" s="52" t="s">
        <v>46</v>
      </c>
      <c r="B21" s="53" t="n">
        <f aca="false">ROUND(SUMIFS('Base Receitas'!$F:$F,'Base Receitas'!$A:$A,$A21),2)</f>
        <v>0</v>
      </c>
      <c r="C21" s="53" t="n">
        <f aca="false">ROUND(SUMIFS('Base Receitas'!$J:$J,'Base Receitas'!$A:$A,$A21),2)</f>
        <v>0</v>
      </c>
      <c r="D21" s="53" t="n">
        <f aca="false">ROUND(SUMIFS('Base Despesas'!$D:$D,'Base Despesas'!$A:$A,$A21),2)</f>
        <v>0</v>
      </c>
      <c r="E21" s="53" t="n">
        <f aca="false">ROUND(B21-D21,2)</f>
        <v>0</v>
      </c>
      <c r="F21" s="54" t="n">
        <f aca="false">IFERROR(ROUND(E21/B21,4),0)</f>
        <v>0</v>
      </c>
      <c r="G21" s="53" t="n">
        <f aca="false">ROUND(G20+E21,2)</f>
        <v>-35839.45</v>
      </c>
      <c r="H21" s="52" t="str">
        <f aca="false">IF(E21&lt;0,"Risco",IF(F21&lt;0.1,"Atenção",IF(F21&lt;0.25,"Boa","Forte")))</f>
        <v>Atenção</v>
      </c>
      <c r="J21" s="58" t="s">
        <v>151</v>
      </c>
    </row>
    <row r="22" customFormat="false" ht="15" hidden="false" customHeight="false" outlineLevel="0" collapsed="false">
      <c r="A22" s="52" t="s">
        <v>47</v>
      </c>
      <c r="B22" s="53" t="n">
        <f aca="false">ROUND(SUMIFS('Base Receitas'!$F:$F,'Base Receitas'!$A:$A,$A22),2)</f>
        <v>0</v>
      </c>
      <c r="C22" s="53" t="n">
        <f aca="false">ROUND(SUMIFS('Base Receitas'!$J:$J,'Base Receitas'!$A:$A,$A22),2)</f>
        <v>0</v>
      </c>
      <c r="D22" s="53" t="n">
        <f aca="false">ROUND(SUMIFS('Base Despesas'!$D:$D,'Base Despesas'!$A:$A,$A22),2)</f>
        <v>0</v>
      </c>
      <c r="E22" s="53" t="n">
        <f aca="false">ROUND(B22-D22,2)</f>
        <v>0</v>
      </c>
      <c r="F22" s="54" t="n">
        <f aca="false">IFERROR(ROUND(E22/B22,4),0)</f>
        <v>0</v>
      </c>
      <c r="G22" s="53" t="n">
        <f aca="false">ROUND(G21+E22,2)</f>
        <v>-35839.45</v>
      </c>
      <c r="H22" s="52" t="str">
        <f aca="false">IF(E22&lt;0,"Risco",IF(F22&lt;0.1,"Atenção",IF(F22&lt;0.25,"Boa","Forte")))</f>
        <v>Atenção</v>
      </c>
      <c r="J22" s="51" t="s">
        <v>19</v>
      </c>
      <c r="K22" s="51" t="s">
        <v>152</v>
      </c>
      <c r="L22" s="51" t="s">
        <v>153</v>
      </c>
    </row>
    <row r="23" customFormat="false" ht="15" hidden="false" customHeight="false" outlineLevel="0" collapsed="false">
      <c r="A23" s="52" t="s">
        <v>48</v>
      </c>
      <c r="B23" s="53" t="n">
        <f aca="false">ROUND(SUMIFS('Base Receitas'!$F:$F,'Base Receitas'!$A:$A,$A23),2)</f>
        <v>0</v>
      </c>
      <c r="C23" s="53" t="n">
        <f aca="false">ROUND(SUMIFS('Base Receitas'!$J:$J,'Base Receitas'!$A:$A,$A23),2)</f>
        <v>0</v>
      </c>
      <c r="D23" s="53" t="n">
        <f aca="false">ROUND(SUMIFS('Base Despesas'!$D:$D,'Base Despesas'!$A:$A,$A23),2)</f>
        <v>0</v>
      </c>
      <c r="E23" s="53" t="n">
        <f aca="false">ROUND(B23-D23,2)</f>
        <v>0</v>
      </c>
      <c r="F23" s="54" t="n">
        <f aca="false">IFERROR(ROUND(E23/B23,4),0)</f>
        <v>0</v>
      </c>
      <c r="G23" s="53" t="n">
        <f aca="false">ROUND(G22+E23,2)</f>
        <v>-35839.45</v>
      </c>
      <c r="H23" s="52" t="str">
        <f aca="false">IF(E23&lt;0,"Risco",IF(F23&lt;0.1,"Atenção",IF(F23&lt;0.25,"Boa","Forte")))</f>
        <v>Atenção</v>
      </c>
      <c r="J23" s="59" t="n">
        <v>0</v>
      </c>
      <c r="K23" s="53" t="n">
        <f aca="false">ROUND(AVERAGEIF($D$12:$D$16,"&gt;0")*J23,2)</f>
        <v>0</v>
      </c>
      <c r="L23" s="53" t="n">
        <f aca="false">ROUND(AVERAGEIF($B$12:$B$16,"&gt;0")-(AVERAGEIF($D$12:$D$16,"&gt;0")*(1-J23)),2)</f>
        <v>1089.28</v>
      </c>
    </row>
    <row r="24" customFormat="false" ht="15" hidden="false" customHeight="false" outlineLevel="0" collapsed="false">
      <c r="A24" s="60" t="s">
        <v>154</v>
      </c>
      <c r="B24" s="61" t="n">
        <f aca="false">ROUND(SUM(B12:B23),2)</f>
        <v>89210</v>
      </c>
      <c r="C24" s="61" t="n">
        <f aca="false">ROUND(SUM(C12:C23),2)</f>
        <v>8600</v>
      </c>
      <c r="D24" s="61" t="n">
        <f aca="false">ROUND(SUM(D12:D23),2)</f>
        <v>143236.94</v>
      </c>
      <c r="E24" s="61" t="n">
        <f aca="false">ROUND(SUM(E12:E23),2)</f>
        <v>-54026.94</v>
      </c>
      <c r="F24" s="62" t="n">
        <f aca="false">IFERROR(ROUND(E24/B24,4),0)</f>
        <v>-0.6056</v>
      </c>
      <c r="G24" s="61" t="n">
        <f aca="false">ROUND(G23,2)</f>
        <v>-35839.45</v>
      </c>
      <c r="H24" s="60" t="s">
        <v>155</v>
      </c>
      <c r="J24" s="59" t="n">
        <v>0.05</v>
      </c>
      <c r="K24" s="53" t="n">
        <f aca="false">ROUND(AVERAGEIF($D$12:$D$16,"&gt;0")*J24,2)</f>
        <v>1432.37</v>
      </c>
      <c r="L24" s="53" t="n">
        <f aca="false">ROUND(AVERAGEIF($B$12:$B$16,"&gt;0")-(AVERAGEIF($D$12:$D$16,"&gt;0")*(1-J24)),2)</f>
        <v>2521.65</v>
      </c>
    </row>
    <row r="25" customFormat="false" ht="15" hidden="false" customHeight="false" outlineLevel="0" collapsed="false">
      <c r="J25" s="59" t="n">
        <v>0.1</v>
      </c>
      <c r="K25" s="53" t="n">
        <f aca="false">ROUND(AVERAGEIF($D$12:$D$16,"&gt;0")*J25,2)</f>
        <v>2864.74</v>
      </c>
      <c r="L25" s="53" t="n">
        <f aca="false">ROUND(AVERAGEIF($B$12:$B$16,"&gt;0")-(AVERAGEIF($D$12:$D$16,"&gt;0")*(1-J25)),2)</f>
        <v>3954.02</v>
      </c>
    </row>
    <row r="26" customFormat="false" ht="15" hidden="false" customHeight="false" outlineLevel="0" collapsed="false">
      <c r="J26" s="59" t="n">
        <v>0.15</v>
      </c>
      <c r="K26" s="53" t="n">
        <f aca="false">ROUND(AVERAGEIF($D$12:$D$16,"&gt;0")*J26,2)</f>
        <v>4297.11</v>
      </c>
      <c r="L26" s="53" t="n">
        <f aca="false">ROUND(AVERAGEIF($B$12:$B$16,"&gt;0")-(AVERAGEIF($D$12:$D$16,"&gt;0")*(1-J26)),2)</f>
        <v>5386.39</v>
      </c>
    </row>
    <row r="27" customFormat="false" ht="15" hidden="false" customHeight="false" outlineLevel="0" collapsed="false">
      <c r="J27" s="59" t="n">
        <v>0.2</v>
      </c>
      <c r="K27" s="53" t="n">
        <f aca="false">ROUND(AVERAGEIF($D$12:$D$16,"&gt;0")*J27,2)</f>
        <v>5729.48</v>
      </c>
      <c r="L27" s="53" t="n">
        <f aca="false">ROUND(AVERAGEIF($B$12:$B$16,"&gt;0")-(AVERAGEIF($D$12:$D$16,"&gt;0")*(1-J27)),2)</f>
        <v>6818.76</v>
      </c>
    </row>
    <row r="28" customFormat="false" ht="15" hidden="false" customHeight="false" outlineLevel="0" collapsed="false">
      <c r="A28" s="58" t="s">
        <v>156</v>
      </c>
    </row>
    <row r="29" customFormat="false" ht="15" hidden="false" customHeight="false" outlineLevel="0" collapsed="false">
      <c r="A29" s="63" t="s">
        <v>157</v>
      </c>
      <c r="B29" s="64" t="n">
        <v>18187.49</v>
      </c>
    </row>
    <row r="30" customFormat="false" ht="15" hidden="false" customHeight="true" outlineLevel="0" collapsed="false">
      <c r="A30" s="63" t="s">
        <v>95</v>
      </c>
      <c r="B30" s="65" t="s">
        <v>158</v>
      </c>
      <c r="C30" s="65"/>
      <c r="D30" s="65"/>
      <c r="E30" s="65"/>
      <c r="F30" s="65"/>
      <c r="G30" s="65"/>
      <c r="H30" s="65"/>
    </row>
    <row r="31" customFormat="false" ht="15" hidden="false" customHeight="false" outlineLevel="0" collapsed="false">
      <c r="B31" s="65"/>
      <c r="C31" s="65"/>
      <c r="D31" s="65"/>
      <c r="E31" s="65"/>
      <c r="F31" s="65"/>
      <c r="G31" s="65"/>
      <c r="H31" s="65"/>
    </row>
  </sheetData>
  <mergeCells count="19">
    <mergeCell ref="A1:R1"/>
    <mergeCell ref="A2:R2"/>
    <mergeCell ref="B4:D4"/>
    <mergeCell ref="F4:H4"/>
    <mergeCell ref="J4:L4"/>
    <mergeCell ref="N4:P4"/>
    <mergeCell ref="B5:D6"/>
    <mergeCell ref="F5:H6"/>
    <mergeCell ref="J5:L6"/>
    <mergeCell ref="N5:P6"/>
    <mergeCell ref="B7:D7"/>
    <mergeCell ref="F7:H7"/>
    <mergeCell ref="J7:L7"/>
    <mergeCell ref="N7:P7"/>
    <mergeCell ref="B8:D9"/>
    <mergeCell ref="F8:H9"/>
    <mergeCell ref="J8:L9"/>
    <mergeCell ref="N8:P9"/>
    <mergeCell ref="B30:H31"/>
  </mergeCells>
  <conditionalFormatting sqref="E12:E23">
    <cfRule type="cellIs" priority="2" operator="lessThan" aboveAverage="0" equalAverage="0" bottom="0" percent="0" rank="0" text="" dxfId="4">
      <formula>0</formula>
    </cfRule>
  </conditionalFormatting>
  <conditionalFormatting sqref="F12:F23">
    <cfRule type="cellIs" priority="3" operator="lessThan" aboveAverage="0" equalAverage="0" bottom="0" percent="0" rank="0" text="" dxfId="5">
      <formula>0.1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8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15"/>
    <col collapsed="false" customWidth="true" hidden="false" outlineLevel="0" max="7" min="7" style="1" width="3"/>
    <col collapsed="false" customWidth="true" hidden="false" outlineLevel="0" max="8" min="8" style="1" width="12"/>
    <col collapsed="false" customWidth="true" hidden="false" outlineLevel="0" max="10" min="9" style="1" width="15"/>
    <col collapsed="false" customWidth="true" hidden="false" outlineLevel="0" max="11" min="11" style="1" width="12"/>
    <col collapsed="false" customWidth="true" hidden="false" outlineLevel="0" max="13" min="12" style="1" width="4"/>
  </cols>
  <sheetData>
    <row r="1" customFormat="false" ht="19.7" hidden="false" customHeight="false" outlineLevel="0" collapsed="false">
      <c r="A1" s="66" t="s">
        <v>159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</row>
    <row r="2" customFormat="false" ht="15" hidden="false" customHeight="false" outlineLevel="0" collapsed="false">
      <c r="A2" s="63" t="s">
        <v>160</v>
      </c>
    </row>
    <row r="4" customFormat="false" ht="15" hidden="false" customHeight="false" outlineLevel="0" collapsed="false">
      <c r="A4" s="67" t="s">
        <v>161</v>
      </c>
      <c r="B4" s="68" t="n">
        <v>0.05</v>
      </c>
      <c r="D4" s="69" t="s">
        <v>162</v>
      </c>
      <c r="E4" s="70" t="n">
        <f aca="false">AVERAGEIF('Painel Fase 1'!B12:B16,"&gt;0")</f>
        <v>29736.6666666667</v>
      </c>
      <c r="H4" s="51" t="s">
        <v>106</v>
      </c>
      <c r="I4" s="51" t="s">
        <v>163</v>
      </c>
      <c r="J4" s="51" t="s">
        <v>108</v>
      </c>
      <c r="K4" s="51" t="s">
        <v>164</v>
      </c>
    </row>
    <row r="5" customFormat="false" ht="15" hidden="false" customHeight="false" outlineLevel="0" collapsed="false">
      <c r="A5" s="67" t="s">
        <v>165</v>
      </c>
      <c r="B5" s="68" t="n">
        <v>0.02</v>
      </c>
      <c r="D5" s="69" t="s">
        <v>166</v>
      </c>
      <c r="E5" s="70" t="n">
        <f aca="false">AVERAGEIF('Painel Fase 1'!D12:D16,"&gt;0")</f>
        <v>28647.388</v>
      </c>
      <c r="H5" s="71" t="n">
        <v>0</v>
      </c>
      <c r="I5" s="56" t="n">
        <f aca="false">ROUND($E$5*H5,2)</f>
        <v>0</v>
      </c>
      <c r="J5" s="56" t="n">
        <f aca="false">ROUND($E$4-($E$5*(1-H5)),2)</f>
        <v>1089.28</v>
      </c>
      <c r="K5" s="72" t="n">
        <f aca="false">IFERROR(ROUND($E$6/($E$5*(1-H5)),1),0)</f>
        <v>-1.3</v>
      </c>
    </row>
    <row r="6" customFormat="false" ht="15" hidden="false" customHeight="false" outlineLevel="0" collapsed="false">
      <c r="A6" s="67" t="s">
        <v>167</v>
      </c>
      <c r="B6" s="68" t="n">
        <v>0</v>
      </c>
      <c r="D6" s="69" t="s">
        <v>168</v>
      </c>
      <c r="E6" s="70" t="n">
        <f aca="false">'Painel Fase 1'!G16</f>
        <v>-35839.45</v>
      </c>
      <c r="H6" s="71" t="n">
        <v>0.05</v>
      </c>
      <c r="I6" s="56" t="n">
        <f aca="false">ROUND($E$5*H6,2)</f>
        <v>1432.37</v>
      </c>
      <c r="J6" s="56" t="n">
        <f aca="false">ROUND($E$4-($E$5*(1-H6)),2)</f>
        <v>2521.65</v>
      </c>
      <c r="K6" s="72" t="n">
        <f aca="false">IFERROR(ROUND($E$6/($E$5*(1-H6)),1),0)</f>
        <v>-1.3</v>
      </c>
    </row>
    <row r="7" customFormat="false" ht="15" hidden="false" customHeight="false" outlineLevel="0" collapsed="false">
      <c r="H7" s="71" t="n">
        <v>0.1</v>
      </c>
      <c r="I7" s="56" t="n">
        <f aca="false">ROUND($E$5*H7,2)</f>
        <v>2864.74</v>
      </c>
      <c r="J7" s="56" t="n">
        <f aca="false">ROUND($E$4-($E$5*(1-H7)),2)</f>
        <v>3954.02</v>
      </c>
      <c r="K7" s="72" t="n">
        <f aca="false">IFERROR(ROUND($E$6/($E$5*(1-H7)),1),0)</f>
        <v>-1.4</v>
      </c>
    </row>
    <row r="8" customFormat="false" ht="15" hidden="false" customHeight="false" outlineLevel="0" collapsed="false">
      <c r="H8" s="71" t="n">
        <v>0.15</v>
      </c>
      <c r="I8" s="56" t="n">
        <f aca="false">ROUND($E$5*H8,2)</f>
        <v>4297.11</v>
      </c>
      <c r="J8" s="56" t="n">
        <f aca="false">ROUND($E$4-($E$5*(1-H8)),2)</f>
        <v>5386.39</v>
      </c>
      <c r="K8" s="72" t="n">
        <f aca="false">IFERROR(ROUND($E$6/($E$5*(1-H8)),1),0)</f>
        <v>-1.5</v>
      </c>
    </row>
    <row r="9" customFormat="false" ht="26.85" hidden="false" customHeight="false" outlineLevel="0" collapsed="false">
      <c r="A9" s="50" t="s">
        <v>51</v>
      </c>
      <c r="B9" s="50" t="s">
        <v>142</v>
      </c>
      <c r="C9" s="50" t="s">
        <v>169</v>
      </c>
      <c r="D9" s="50" t="s">
        <v>145</v>
      </c>
      <c r="E9" s="50" t="s">
        <v>146</v>
      </c>
      <c r="F9" s="50" t="s">
        <v>109</v>
      </c>
      <c r="H9" s="71" t="n">
        <v>0.2</v>
      </c>
      <c r="I9" s="56" t="n">
        <f aca="false">ROUND($E$5*H9,2)</f>
        <v>5729.48</v>
      </c>
      <c r="J9" s="56" t="n">
        <f aca="false">ROUND($E$4-($E$5*(1-H9)),2)</f>
        <v>6818.76</v>
      </c>
      <c r="K9" s="72" t="n">
        <f aca="false">IFERROR(ROUND($E$6/($E$5*(1-H9)),1),0)</f>
        <v>-1.6</v>
      </c>
    </row>
    <row r="10" customFormat="false" ht="15" hidden="false" customHeight="false" outlineLevel="0" collapsed="false">
      <c r="A10" s="52" t="s">
        <v>41</v>
      </c>
      <c r="B10" s="53" t="n">
        <f aca="false">ROUND($E$4*(1+$B$4),2)</f>
        <v>31223.5</v>
      </c>
      <c r="C10" s="53" t="n">
        <f aca="false">ROUND($E$5*(1+$B$5)*(1-$B$6),2)</f>
        <v>29220.34</v>
      </c>
      <c r="D10" s="53" t="n">
        <f aca="false">ROUND(B10-C10,2)</f>
        <v>2003.16</v>
      </c>
      <c r="E10" s="53" t="n">
        <f aca="false">ROUND($E$6+D10,2)</f>
        <v>-33836.29</v>
      </c>
      <c r="F10" s="73" t="n">
        <f aca="false">IFERROR(ROUND(E10/C10,1),0)</f>
        <v>-1.2</v>
      </c>
    </row>
    <row r="11" customFormat="false" ht="15" hidden="false" customHeight="false" outlineLevel="0" collapsed="false">
      <c r="A11" s="52" t="s">
        <v>43</v>
      </c>
      <c r="B11" s="53" t="n">
        <f aca="false">ROUND(B10*(1+$B$4),2)</f>
        <v>32784.68</v>
      </c>
      <c r="C11" s="53" t="n">
        <f aca="false">ROUND(C10*(1+$B$5),2)</f>
        <v>29804.75</v>
      </c>
      <c r="D11" s="53" t="n">
        <f aca="false">ROUND(B11-C11,2)</f>
        <v>2979.93</v>
      </c>
      <c r="E11" s="53" t="n">
        <f aca="false">ROUND(E10+D11,2)</f>
        <v>-30856.36</v>
      </c>
      <c r="F11" s="73" t="n">
        <f aca="false">IFERROR(ROUND(E11/C11,1),0)</f>
        <v>-1</v>
      </c>
    </row>
    <row r="12" customFormat="false" ht="15" hidden="false" customHeight="false" outlineLevel="0" collapsed="false">
      <c r="A12" s="52" t="s">
        <v>44</v>
      </c>
      <c r="B12" s="53" t="n">
        <f aca="false">ROUND(B11*(1+$B$4),2)</f>
        <v>34423.91</v>
      </c>
      <c r="C12" s="53" t="n">
        <f aca="false">ROUND(C11*(1+$B$5),2)</f>
        <v>30400.85</v>
      </c>
      <c r="D12" s="53" t="n">
        <f aca="false">ROUND(B12-C12,2)</f>
        <v>4023.06</v>
      </c>
      <c r="E12" s="53" t="n">
        <f aca="false">ROUND(E11+D12,2)</f>
        <v>-26833.3</v>
      </c>
      <c r="F12" s="73" t="n">
        <f aca="false">IFERROR(ROUND(E12/C12,1),0)</f>
        <v>-0.9</v>
      </c>
    </row>
    <row r="13" customFormat="false" ht="15" hidden="false" customHeight="false" outlineLevel="0" collapsed="false">
      <c r="A13" s="52" t="s">
        <v>45</v>
      </c>
      <c r="B13" s="53" t="n">
        <f aca="false">ROUND(B12*(1+$B$4),2)</f>
        <v>36145.11</v>
      </c>
      <c r="C13" s="53" t="n">
        <f aca="false">ROUND(C12*(1+$B$5),2)</f>
        <v>31008.87</v>
      </c>
      <c r="D13" s="53" t="n">
        <f aca="false">ROUND(B13-C13,2)</f>
        <v>5136.24</v>
      </c>
      <c r="E13" s="53" t="n">
        <f aca="false">ROUND(E12+D13,2)</f>
        <v>-21697.06</v>
      </c>
      <c r="F13" s="73" t="n">
        <f aca="false">IFERROR(ROUND(E13/C13,1),0)</f>
        <v>-0.7</v>
      </c>
    </row>
    <row r="14" customFormat="false" ht="15" hidden="false" customHeight="false" outlineLevel="0" collapsed="false">
      <c r="A14" s="52" t="s">
        <v>46</v>
      </c>
      <c r="B14" s="53" t="n">
        <f aca="false">ROUND(B13*(1+$B$4),2)</f>
        <v>37952.37</v>
      </c>
      <c r="C14" s="53" t="n">
        <f aca="false">ROUND(C13*(1+$B$5),2)</f>
        <v>31629.05</v>
      </c>
      <c r="D14" s="53" t="n">
        <f aca="false">ROUND(B14-C14,2)</f>
        <v>6323.32</v>
      </c>
      <c r="E14" s="53" t="n">
        <f aca="false">ROUND(E13+D14,2)</f>
        <v>-15373.74</v>
      </c>
      <c r="F14" s="73" t="n">
        <f aca="false">IFERROR(ROUND(E14/C14,1),0)</f>
        <v>-0.5</v>
      </c>
    </row>
    <row r="15" customFormat="false" ht="15" hidden="false" customHeight="false" outlineLevel="0" collapsed="false">
      <c r="A15" s="52" t="s">
        <v>47</v>
      </c>
      <c r="B15" s="53" t="n">
        <f aca="false">ROUND(B14*(1+$B$4),2)</f>
        <v>39849.99</v>
      </c>
      <c r="C15" s="53" t="n">
        <f aca="false">ROUND(C14*(1+$B$5),2)</f>
        <v>32261.63</v>
      </c>
      <c r="D15" s="53" t="n">
        <f aca="false">ROUND(B15-C15,2)</f>
        <v>7588.36</v>
      </c>
      <c r="E15" s="53" t="n">
        <f aca="false">ROUND(E14+D15,2)</f>
        <v>-7785.38</v>
      </c>
      <c r="F15" s="73" t="n">
        <f aca="false">IFERROR(ROUND(E15/C15,1),0)</f>
        <v>-0.2</v>
      </c>
    </row>
    <row r="16" customFormat="false" ht="15" hidden="false" customHeight="false" outlineLevel="0" collapsed="false">
      <c r="A16" s="52" t="s">
        <v>48</v>
      </c>
      <c r="B16" s="53" t="n">
        <f aca="false">ROUND(B15*(1+$B$4),2)</f>
        <v>41842.49</v>
      </c>
      <c r="C16" s="53" t="n">
        <f aca="false">ROUND(C15*(1+$B$5),2)</f>
        <v>32906.86</v>
      </c>
      <c r="D16" s="53" t="n">
        <f aca="false">ROUND(B16-C16,2)</f>
        <v>8935.63</v>
      </c>
      <c r="E16" s="53" t="n">
        <f aca="false">ROUND(E15+D16,2)</f>
        <v>1150.25</v>
      </c>
      <c r="F16" s="73" t="n">
        <f aca="false">IFERROR(ROUND(E16/C16,1),0)</f>
        <v>0</v>
      </c>
    </row>
  </sheetData>
  <mergeCells count="1">
    <mergeCell ref="A1:M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T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0"/>
    <col collapsed="false" customWidth="true" hidden="false" outlineLevel="0" max="3" min="3" style="1" width="26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15"/>
    <col collapsed="false" customWidth="true" hidden="false" outlineLevel="0" max="7" min="7" style="1" width="20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15"/>
    <col collapsed="false" customWidth="true" hidden="false" outlineLevel="0" max="11" min="11" style="1" width="18"/>
  </cols>
  <sheetData>
    <row r="1" customFormat="false" ht="26.85" hidden="false" customHeight="false" outlineLevel="0" collapsed="false">
      <c r="A1" s="50" t="s">
        <v>51</v>
      </c>
      <c r="B1" s="50" t="s">
        <v>96</v>
      </c>
      <c r="C1" s="50" t="s">
        <v>62</v>
      </c>
      <c r="D1" s="50" t="s">
        <v>91</v>
      </c>
      <c r="E1" s="50" t="s">
        <v>93</v>
      </c>
      <c r="F1" s="50" t="s">
        <v>170</v>
      </c>
      <c r="G1" s="50" t="s">
        <v>98</v>
      </c>
      <c r="H1" s="50" t="s">
        <v>94</v>
      </c>
      <c r="I1" s="50" t="s">
        <v>92</v>
      </c>
      <c r="J1" s="50" t="s">
        <v>138</v>
      </c>
      <c r="K1" s="50" t="s">
        <v>171</v>
      </c>
    </row>
    <row r="2" customFormat="false" ht="15" hidden="false" customHeight="false" outlineLevel="0" collapsed="false">
      <c r="A2" s="74" t="s">
        <v>24</v>
      </c>
      <c r="B2" s="74" t="s">
        <v>172</v>
      </c>
      <c r="C2" s="74" t="s">
        <v>83</v>
      </c>
      <c r="D2" s="74" t="s">
        <v>173</v>
      </c>
      <c r="E2" s="74" t="n">
        <v>5</v>
      </c>
      <c r="F2" s="75" t="n">
        <v>800</v>
      </c>
      <c r="G2" s="74" t="s">
        <v>174</v>
      </c>
      <c r="H2" s="76" t="n">
        <v>45992</v>
      </c>
      <c r="I2" s="74" t="s">
        <v>175</v>
      </c>
      <c r="J2" s="75"/>
      <c r="K2" s="74"/>
    </row>
    <row r="3" customFormat="false" ht="15" hidden="false" customHeight="false" outlineLevel="0" collapsed="false">
      <c r="A3" s="74" t="s">
        <v>24</v>
      </c>
      <c r="B3" s="74" t="s">
        <v>172</v>
      </c>
      <c r="C3" s="74" t="s">
        <v>176</v>
      </c>
      <c r="D3" s="74" t="s">
        <v>177</v>
      </c>
      <c r="E3" s="74" t="n">
        <v>5</v>
      </c>
      <c r="F3" s="75" t="n">
        <v>1200</v>
      </c>
      <c r="G3" s="74" t="s">
        <v>178</v>
      </c>
      <c r="H3" s="76" t="n">
        <v>45992</v>
      </c>
      <c r="I3" s="74" t="s">
        <v>175</v>
      </c>
      <c r="J3" s="75"/>
      <c r="K3" s="74"/>
    </row>
    <row r="4" customFormat="false" ht="15" hidden="false" customHeight="false" outlineLevel="0" collapsed="false">
      <c r="A4" s="74" t="s">
        <v>24</v>
      </c>
      <c r="B4" s="74" t="s">
        <v>172</v>
      </c>
      <c r="C4" s="74" t="s">
        <v>82</v>
      </c>
      <c r="D4" s="74" t="s">
        <v>177</v>
      </c>
      <c r="E4" s="74" t="n">
        <v>5</v>
      </c>
      <c r="F4" s="75" t="n">
        <v>750</v>
      </c>
      <c r="G4" s="74" t="s">
        <v>178</v>
      </c>
      <c r="H4" s="76" t="n">
        <v>46023</v>
      </c>
      <c r="I4" s="74" t="s">
        <v>175</v>
      </c>
      <c r="J4" s="75"/>
      <c r="K4" s="74"/>
    </row>
    <row r="5" customFormat="false" ht="15" hidden="false" customHeight="false" outlineLevel="0" collapsed="false">
      <c r="A5" s="74" t="s">
        <v>24</v>
      </c>
      <c r="B5" s="74" t="s">
        <v>172</v>
      </c>
      <c r="C5" s="74" t="s">
        <v>72</v>
      </c>
      <c r="D5" s="74" t="s">
        <v>177</v>
      </c>
      <c r="E5" s="74" t="n">
        <v>6</v>
      </c>
      <c r="F5" s="75" t="n">
        <v>2000</v>
      </c>
      <c r="G5" s="74" t="s">
        <v>179</v>
      </c>
      <c r="H5" s="76" t="n">
        <v>46023</v>
      </c>
      <c r="I5" s="74" t="s">
        <v>175</v>
      </c>
      <c r="J5" s="75"/>
      <c r="K5" s="74"/>
    </row>
    <row r="6" customFormat="false" ht="15" hidden="false" customHeight="false" outlineLevel="0" collapsed="false">
      <c r="A6" s="74" t="s">
        <v>24</v>
      </c>
      <c r="B6" s="74" t="s">
        <v>172</v>
      </c>
      <c r="C6" s="74" t="s">
        <v>75</v>
      </c>
      <c r="D6" s="74" t="s">
        <v>180</v>
      </c>
      <c r="E6" s="74" t="n">
        <v>10</v>
      </c>
      <c r="F6" s="75" t="n">
        <v>2500</v>
      </c>
      <c r="G6" s="74" t="s">
        <v>181</v>
      </c>
      <c r="H6" s="76" t="n">
        <v>45992</v>
      </c>
      <c r="I6" s="74" t="s">
        <v>175</v>
      </c>
      <c r="J6" s="75"/>
      <c r="K6" s="74"/>
    </row>
    <row r="7" customFormat="false" ht="15" hidden="false" customHeight="false" outlineLevel="0" collapsed="false">
      <c r="A7" s="74" t="s">
        <v>24</v>
      </c>
      <c r="B7" s="74" t="s">
        <v>172</v>
      </c>
      <c r="C7" s="74" t="s">
        <v>182</v>
      </c>
      <c r="D7" s="74" t="s">
        <v>177</v>
      </c>
      <c r="E7" s="74" t="n">
        <v>12</v>
      </c>
      <c r="F7" s="75" t="n">
        <v>1500</v>
      </c>
      <c r="G7" s="74" t="s">
        <v>174</v>
      </c>
      <c r="H7" s="76" t="n">
        <v>46023</v>
      </c>
      <c r="I7" s="74" t="s">
        <v>175</v>
      </c>
      <c r="J7" s="75"/>
      <c r="K7" s="74"/>
    </row>
    <row r="8" customFormat="false" ht="15" hidden="false" customHeight="false" outlineLevel="0" collapsed="false">
      <c r="A8" s="74" t="s">
        <v>24</v>
      </c>
      <c r="B8" s="74" t="s">
        <v>172</v>
      </c>
      <c r="C8" s="74" t="s">
        <v>183</v>
      </c>
      <c r="D8" s="74" t="s">
        <v>184</v>
      </c>
      <c r="E8" s="74" t="n">
        <v>16</v>
      </c>
      <c r="F8" s="75" t="n">
        <v>600</v>
      </c>
      <c r="G8" s="74" t="s">
        <v>174</v>
      </c>
      <c r="H8" s="76" t="n">
        <v>46023</v>
      </c>
      <c r="I8" s="74" t="s">
        <v>175</v>
      </c>
      <c r="J8" s="75"/>
      <c r="K8" s="74"/>
    </row>
    <row r="9" customFormat="false" ht="15" hidden="false" customHeight="false" outlineLevel="0" collapsed="false">
      <c r="A9" s="74" t="s">
        <v>24</v>
      </c>
      <c r="B9" s="74" t="s">
        <v>172</v>
      </c>
      <c r="C9" s="74" t="s">
        <v>73</v>
      </c>
      <c r="D9" s="74" t="s">
        <v>185</v>
      </c>
      <c r="E9" s="74" t="n">
        <v>25</v>
      </c>
      <c r="F9" s="75" t="n">
        <v>1200</v>
      </c>
      <c r="G9" s="74" t="s">
        <v>186</v>
      </c>
      <c r="H9" s="74"/>
      <c r="I9" s="74" t="s">
        <v>175</v>
      </c>
      <c r="J9" s="75"/>
      <c r="K9" s="74"/>
    </row>
    <row r="10" customFormat="false" ht="15" hidden="false" customHeight="false" outlineLevel="0" collapsed="false">
      <c r="A10" s="74" t="s">
        <v>24</v>
      </c>
      <c r="B10" s="74" t="s">
        <v>172</v>
      </c>
      <c r="C10" s="74" t="s">
        <v>79</v>
      </c>
      <c r="D10" s="74" t="s">
        <v>187</v>
      </c>
      <c r="E10" s="74"/>
      <c r="F10" s="75" t="n">
        <v>2500</v>
      </c>
      <c r="G10" s="74"/>
      <c r="H10" s="74"/>
      <c r="I10" s="74" t="s">
        <v>188</v>
      </c>
      <c r="J10" s="75"/>
      <c r="K10" s="74"/>
    </row>
    <row r="11" customFormat="false" ht="15" hidden="false" customHeight="false" outlineLevel="0" collapsed="false">
      <c r="A11" s="74" t="s">
        <v>24</v>
      </c>
      <c r="B11" s="74" t="s">
        <v>172</v>
      </c>
      <c r="C11" s="74" t="s">
        <v>189</v>
      </c>
      <c r="D11" s="74" t="s">
        <v>190</v>
      </c>
      <c r="E11" s="74" t="n">
        <v>25</v>
      </c>
      <c r="F11" s="75" t="n">
        <v>2000</v>
      </c>
      <c r="G11" s="74" t="s">
        <v>174</v>
      </c>
      <c r="H11" s="76" t="n">
        <v>45992</v>
      </c>
      <c r="I11" s="74" t="s">
        <v>188</v>
      </c>
      <c r="J11" s="75"/>
      <c r="K11" s="74"/>
    </row>
    <row r="12" customFormat="false" ht="15" hidden="false" customHeight="false" outlineLevel="0" collapsed="false">
      <c r="A12" s="74" t="s">
        <v>24</v>
      </c>
      <c r="B12" s="74" t="s">
        <v>172</v>
      </c>
      <c r="C12" s="74" t="s">
        <v>191</v>
      </c>
      <c r="D12" s="74" t="s">
        <v>192</v>
      </c>
      <c r="E12" s="74" t="n">
        <v>25</v>
      </c>
      <c r="F12" s="75" t="n">
        <v>1350</v>
      </c>
      <c r="G12" s="74" t="s">
        <v>174</v>
      </c>
      <c r="H12" s="76" t="n">
        <v>45992</v>
      </c>
      <c r="I12" s="74" t="s">
        <v>175</v>
      </c>
      <c r="J12" s="75"/>
      <c r="K12" s="74"/>
    </row>
    <row r="13" customFormat="false" ht="15" hidden="false" customHeight="false" outlineLevel="0" collapsed="false">
      <c r="A13" s="74" t="s">
        <v>24</v>
      </c>
      <c r="B13" s="74" t="s">
        <v>172</v>
      </c>
      <c r="C13" s="74" t="s">
        <v>64</v>
      </c>
      <c r="D13" s="74" t="s">
        <v>180</v>
      </c>
      <c r="E13" s="74" t="n">
        <v>25</v>
      </c>
      <c r="F13" s="75" t="n">
        <v>1900</v>
      </c>
      <c r="G13" s="74" t="s">
        <v>193</v>
      </c>
      <c r="H13" s="76" t="n">
        <v>46023</v>
      </c>
      <c r="I13" s="74" t="s">
        <v>175</v>
      </c>
      <c r="J13" s="75"/>
      <c r="K13" s="74"/>
    </row>
    <row r="14" customFormat="false" ht="15" hidden="false" customHeight="false" outlineLevel="0" collapsed="false">
      <c r="A14" s="74" t="s">
        <v>24</v>
      </c>
      <c r="B14" s="74" t="s">
        <v>172</v>
      </c>
      <c r="C14" s="74" t="s">
        <v>194</v>
      </c>
      <c r="D14" s="74" t="s">
        <v>195</v>
      </c>
      <c r="E14" s="74" t="n">
        <v>30</v>
      </c>
      <c r="F14" s="75" t="n">
        <v>4500</v>
      </c>
      <c r="G14" s="74"/>
      <c r="H14" s="76" t="n">
        <v>46023</v>
      </c>
      <c r="I14" s="74" t="s">
        <v>175</v>
      </c>
      <c r="J14" s="75"/>
      <c r="K14" s="74"/>
    </row>
    <row r="15" customFormat="false" ht="15" hidden="false" customHeight="false" outlineLevel="0" collapsed="false">
      <c r="A15" s="74" t="s">
        <v>24</v>
      </c>
      <c r="B15" s="74" t="s">
        <v>172</v>
      </c>
      <c r="C15" s="74"/>
      <c r="D15" s="74" t="s">
        <v>196</v>
      </c>
      <c r="E15" s="74" t="n">
        <v>25</v>
      </c>
      <c r="F15" s="75"/>
      <c r="G15" s="74"/>
      <c r="H15" s="74"/>
      <c r="I15" s="74"/>
      <c r="J15" s="75" t="n">
        <v>1500</v>
      </c>
      <c r="K15" s="76" t="n">
        <v>45962</v>
      </c>
    </row>
    <row r="16" customFormat="false" ht="15" hidden="false" customHeight="false" outlineLevel="0" collapsed="false">
      <c r="A16" s="74" t="s">
        <v>24</v>
      </c>
      <c r="B16" s="74" t="s">
        <v>172</v>
      </c>
      <c r="C16" s="74" t="s">
        <v>68</v>
      </c>
      <c r="D16" s="74" t="s">
        <v>197</v>
      </c>
      <c r="E16" s="74" t="n">
        <v>30</v>
      </c>
      <c r="F16" s="75" t="n">
        <v>1360</v>
      </c>
      <c r="G16" s="74" t="s">
        <v>198</v>
      </c>
      <c r="H16" s="76" t="n">
        <v>46023</v>
      </c>
      <c r="I16" s="74" t="s">
        <v>175</v>
      </c>
      <c r="J16" s="75"/>
      <c r="K16" s="74"/>
    </row>
    <row r="17" customFormat="false" ht="15" hidden="false" customHeight="false" outlineLevel="0" collapsed="false">
      <c r="A17" s="74" t="s">
        <v>24</v>
      </c>
      <c r="B17" s="74" t="s">
        <v>172</v>
      </c>
      <c r="C17" s="74" t="s">
        <v>71</v>
      </c>
      <c r="D17" s="74" t="s">
        <v>199</v>
      </c>
      <c r="E17" s="74" t="n">
        <v>30</v>
      </c>
      <c r="F17" s="75" t="n">
        <v>2000</v>
      </c>
      <c r="G17" s="74" t="s">
        <v>200</v>
      </c>
      <c r="H17" s="76" t="n">
        <v>46023</v>
      </c>
      <c r="I17" s="74" t="s">
        <v>188</v>
      </c>
      <c r="J17" s="75"/>
      <c r="K17" s="74"/>
    </row>
    <row r="18" customFormat="false" ht="15" hidden="false" customHeight="false" outlineLevel="0" collapsed="false">
      <c r="A18" s="74" t="s">
        <v>24</v>
      </c>
      <c r="B18" s="74" t="s">
        <v>172</v>
      </c>
      <c r="C18" s="74" t="s">
        <v>201</v>
      </c>
      <c r="D18" s="74" t="s">
        <v>177</v>
      </c>
      <c r="E18" s="74" t="n">
        <v>28</v>
      </c>
      <c r="F18" s="75" t="n">
        <v>750</v>
      </c>
      <c r="G18" s="74" t="s">
        <v>174</v>
      </c>
      <c r="H18" s="76" t="n">
        <v>46023</v>
      </c>
      <c r="I18" s="74" t="s">
        <v>175</v>
      </c>
      <c r="J18" s="75"/>
      <c r="K18" s="74"/>
    </row>
    <row r="19" customFormat="false" ht="15" hidden="false" customHeight="false" outlineLevel="0" collapsed="false">
      <c r="A19" s="74" t="s">
        <v>24</v>
      </c>
      <c r="B19" s="74" t="s">
        <v>172</v>
      </c>
      <c r="C19" s="74" t="s">
        <v>202</v>
      </c>
      <c r="D19" s="74" t="s">
        <v>177</v>
      </c>
      <c r="E19" s="74" t="n">
        <v>30</v>
      </c>
      <c r="F19" s="75"/>
      <c r="G19" s="74" t="s">
        <v>174</v>
      </c>
      <c r="H19" s="76" t="n">
        <v>46023</v>
      </c>
      <c r="I19" s="74"/>
      <c r="J19" s="75"/>
      <c r="K19" s="74"/>
    </row>
    <row r="20" customFormat="false" ht="15" hidden="false" customHeight="false" outlineLevel="0" collapsed="false">
      <c r="A20" s="74" t="s">
        <v>24</v>
      </c>
      <c r="B20" s="74" t="s">
        <v>172</v>
      </c>
      <c r="C20" s="74" t="s">
        <v>203</v>
      </c>
      <c r="D20" s="74" t="s">
        <v>204</v>
      </c>
      <c r="E20" s="74" t="n">
        <v>30</v>
      </c>
      <c r="F20" s="75" t="n">
        <v>2750</v>
      </c>
      <c r="G20" s="74" t="s">
        <v>174</v>
      </c>
      <c r="H20" s="76" t="n">
        <v>46023</v>
      </c>
      <c r="I20" s="74" t="s">
        <v>175</v>
      </c>
      <c r="J20" s="75"/>
      <c r="K20" s="74"/>
    </row>
    <row r="21" customFormat="false" ht="15" hidden="false" customHeight="false" outlineLevel="0" collapsed="false">
      <c r="A21" s="74" t="s">
        <v>24</v>
      </c>
      <c r="B21" s="74" t="s">
        <v>172</v>
      </c>
      <c r="C21" s="74" t="s">
        <v>205</v>
      </c>
      <c r="D21" s="74" t="s">
        <v>197</v>
      </c>
      <c r="E21" s="74" t="n">
        <v>30</v>
      </c>
      <c r="F21" s="75" t="n">
        <v>600</v>
      </c>
      <c r="G21" s="74" t="s">
        <v>174</v>
      </c>
      <c r="H21" s="76" t="n">
        <v>46023</v>
      </c>
      <c r="I21" s="74" t="s">
        <v>188</v>
      </c>
      <c r="J21" s="75"/>
      <c r="K21" s="74"/>
    </row>
    <row r="22" customFormat="false" ht="15" hidden="false" customHeight="false" outlineLevel="0" collapsed="false">
      <c r="A22" s="74" t="s">
        <v>28</v>
      </c>
      <c r="B22" s="74" t="s">
        <v>172</v>
      </c>
      <c r="C22" s="74" t="s">
        <v>83</v>
      </c>
      <c r="D22" s="74" t="s">
        <v>173</v>
      </c>
      <c r="E22" s="74" t="n">
        <v>5</v>
      </c>
      <c r="F22" s="75" t="n">
        <v>800</v>
      </c>
      <c r="G22" s="74" t="s">
        <v>174</v>
      </c>
      <c r="H22" s="76" t="n">
        <v>46023</v>
      </c>
      <c r="I22" s="74" t="s">
        <v>188</v>
      </c>
      <c r="J22" s="75"/>
      <c r="K22" s="74"/>
    </row>
    <row r="23" customFormat="false" ht="15" hidden="false" customHeight="false" outlineLevel="0" collapsed="false">
      <c r="A23" s="74" t="s">
        <v>28</v>
      </c>
      <c r="B23" s="74" t="s">
        <v>172</v>
      </c>
      <c r="C23" s="74" t="s">
        <v>176</v>
      </c>
      <c r="D23" s="74" t="s">
        <v>177</v>
      </c>
      <c r="E23" s="74" t="n">
        <v>5</v>
      </c>
      <c r="F23" s="75" t="n">
        <v>1200</v>
      </c>
      <c r="G23" s="74" t="s">
        <v>206</v>
      </c>
      <c r="H23" s="76" t="n">
        <v>46023</v>
      </c>
      <c r="I23" s="74" t="s">
        <v>175</v>
      </c>
      <c r="J23" s="75"/>
      <c r="K23" s="74"/>
    </row>
    <row r="24" customFormat="false" ht="15" hidden="false" customHeight="false" outlineLevel="0" collapsed="false">
      <c r="A24" s="74" t="s">
        <v>28</v>
      </c>
      <c r="B24" s="74" t="s">
        <v>207</v>
      </c>
      <c r="C24" s="74"/>
      <c r="D24" s="74" t="s">
        <v>180</v>
      </c>
      <c r="E24" s="74" t="n">
        <v>5</v>
      </c>
      <c r="F24" s="75"/>
      <c r="G24" s="74"/>
      <c r="H24" s="74"/>
      <c r="I24" s="74"/>
      <c r="J24" s="75"/>
      <c r="K24" s="74"/>
    </row>
    <row r="25" customFormat="false" ht="15" hidden="false" customHeight="false" outlineLevel="0" collapsed="false">
      <c r="A25" s="74" t="s">
        <v>28</v>
      </c>
      <c r="B25" s="74" t="s">
        <v>207</v>
      </c>
      <c r="C25" s="74"/>
      <c r="D25" s="74" t="s">
        <v>180</v>
      </c>
      <c r="E25" s="74" t="n">
        <v>5</v>
      </c>
      <c r="F25" s="75"/>
      <c r="G25" s="74"/>
      <c r="H25" s="74"/>
      <c r="I25" s="74"/>
      <c r="J25" s="75"/>
      <c r="K25" s="74"/>
    </row>
    <row r="26" customFormat="false" ht="15" hidden="false" customHeight="false" outlineLevel="0" collapsed="false">
      <c r="A26" s="74" t="s">
        <v>28</v>
      </c>
      <c r="B26" s="74" t="s">
        <v>172</v>
      </c>
      <c r="C26" s="74" t="s">
        <v>82</v>
      </c>
      <c r="D26" s="74" t="s">
        <v>177</v>
      </c>
      <c r="E26" s="74" t="n">
        <v>5</v>
      </c>
      <c r="F26" s="75" t="n">
        <v>750</v>
      </c>
      <c r="G26" s="74" t="s">
        <v>206</v>
      </c>
      <c r="H26" s="76" t="n">
        <v>46054</v>
      </c>
      <c r="I26" s="74" t="s">
        <v>175</v>
      </c>
      <c r="J26" s="75"/>
      <c r="K26" s="74"/>
    </row>
    <row r="27" customFormat="false" ht="15" hidden="false" customHeight="false" outlineLevel="0" collapsed="false">
      <c r="A27" s="74" t="s">
        <v>28</v>
      </c>
      <c r="B27" s="74" t="s">
        <v>172</v>
      </c>
      <c r="C27" s="74" t="s">
        <v>72</v>
      </c>
      <c r="D27" s="74" t="s">
        <v>177</v>
      </c>
      <c r="E27" s="74" t="n">
        <v>6</v>
      </c>
      <c r="F27" s="75" t="n">
        <v>2750</v>
      </c>
      <c r="G27" s="74" t="s">
        <v>208</v>
      </c>
      <c r="H27" s="76" t="n">
        <v>46054</v>
      </c>
      <c r="I27" s="74" t="s">
        <v>175</v>
      </c>
      <c r="J27" s="75"/>
      <c r="K27" s="74"/>
    </row>
    <row r="28" customFormat="false" ht="15" hidden="false" customHeight="false" outlineLevel="0" collapsed="false">
      <c r="A28" s="74" t="s">
        <v>28</v>
      </c>
      <c r="B28" s="74" t="s">
        <v>172</v>
      </c>
      <c r="C28" s="74" t="s">
        <v>75</v>
      </c>
      <c r="D28" s="74" t="s">
        <v>180</v>
      </c>
      <c r="E28" s="74" t="n">
        <v>10</v>
      </c>
      <c r="F28" s="75" t="n">
        <v>2500</v>
      </c>
      <c r="G28" s="74" t="s">
        <v>209</v>
      </c>
      <c r="H28" s="76" t="n">
        <v>46023</v>
      </c>
      <c r="I28" s="74" t="s">
        <v>175</v>
      </c>
      <c r="J28" s="75"/>
      <c r="K28" s="74"/>
    </row>
    <row r="29" customFormat="false" ht="15" hidden="false" customHeight="false" outlineLevel="0" collapsed="false">
      <c r="A29" s="74" t="s">
        <v>28</v>
      </c>
      <c r="B29" s="74" t="s">
        <v>172</v>
      </c>
      <c r="C29" s="74" t="s">
        <v>182</v>
      </c>
      <c r="D29" s="74" t="s">
        <v>177</v>
      </c>
      <c r="E29" s="74" t="n">
        <v>12</v>
      </c>
      <c r="F29" s="75" t="n">
        <v>1500</v>
      </c>
      <c r="G29" s="74" t="s">
        <v>174</v>
      </c>
      <c r="H29" s="76" t="n">
        <v>46054</v>
      </c>
      <c r="I29" s="74" t="s">
        <v>175</v>
      </c>
      <c r="J29" s="75"/>
      <c r="K29" s="74"/>
    </row>
    <row r="30" customFormat="false" ht="15" hidden="false" customHeight="false" outlineLevel="0" collapsed="false">
      <c r="A30" s="74" t="s">
        <v>28</v>
      </c>
      <c r="B30" s="74" t="s">
        <v>172</v>
      </c>
      <c r="C30" s="74" t="s">
        <v>183</v>
      </c>
      <c r="D30" s="74" t="s">
        <v>184</v>
      </c>
      <c r="E30" s="74" t="n">
        <v>16</v>
      </c>
      <c r="F30" s="75" t="n">
        <v>600</v>
      </c>
      <c r="G30" s="74" t="s">
        <v>174</v>
      </c>
      <c r="H30" s="76" t="n">
        <v>46054</v>
      </c>
      <c r="I30" s="74" t="s">
        <v>175</v>
      </c>
      <c r="J30" s="75"/>
      <c r="K30" s="74"/>
    </row>
    <row r="31" customFormat="false" ht="15" hidden="false" customHeight="false" outlineLevel="0" collapsed="false">
      <c r="A31" s="74" t="s">
        <v>28</v>
      </c>
      <c r="B31" s="74" t="s">
        <v>172</v>
      </c>
      <c r="C31" s="74" t="s">
        <v>80</v>
      </c>
      <c r="D31" s="74"/>
      <c r="E31" s="74"/>
      <c r="F31" s="75" t="n">
        <v>1000</v>
      </c>
      <c r="G31" s="74"/>
      <c r="H31" s="74"/>
      <c r="I31" s="74"/>
      <c r="J31" s="75" t="n">
        <v>2500</v>
      </c>
      <c r="K31" s="76" t="n">
        <v>46023</v>
      </c>
    </row>
    <row r="32" customFormat="false" ht="15" hidden="false" customHeight="false" outlineLevel="0" collapsed="false">
      <c r="A32" s="74" t="s">
        <v>28</v>
      </c>
      <c r="B32" s="74" t="s">
        <v>172</v>
      </c>
      <c r="C32" s="74" t="s">
        <v>73</v>
      </c>
      <c r="D32" s="74" t="s">
        <v>185</v>
      </c>
      <c r="E32" s="74" t="n">
        <v>25</v>
      </c>
      <c r="F32" s="75" t="n">
        <v>1200</v>
      </c>
      <c r="G32" s="74" t="s">
        <v>210</v>
      </c>
      <c r="H32" s="74"/>
      <c r="I32" s="74" t="s">
        <v>175</v>
      </c>
      <c r="J32" s="75"/>
      <c r="K32" s="74"/>
    </row>
    <row r="33" customFormat="false" ht="15" hidden="false" customHeight="false" outlineLevel="0" collapsed="false">
      <c r="A33" s="74" t="s">
        <v>28</v>
      </c>
      <c r="B33" s="74" t="s">
        <v>172</v>
      </c>
      <c r="C33" s="74"/>
      <c r="D33" s="74" t="s">
        <v>187</v>
      </c>
      <c r="E33" s="74"/>
      <c r="F33" s="75"/>
      <c r="G33" s="74"/>
      <c r="H33" s="74"/>
      <c r="I33" s="74"/>
      <c r="J33" s="75"/>
      <c r="K33" s="74"/>
    </row>
    <row r="34" customFormat="false" ht="15" hidden="false" customHeight="false" outlineLevel="0" collapsed="false">
      <c r="A34" s="74" t="s">
        <v>28</v>
      </c>
      <c r="B34" s="74" t="s">
        <v>172</v>
      </c>
      <c r="C34" s="74" t="s">
        <v>189</v>
      </c>
      <c r="D34" s="74" t="s">
        <v>190</v>
      </c>
      <c r="E34" s="74" t="n">
        <v>25</v>
      </c>
      <c r="F34" s="75" t="n">
        <v>2000</v>
      </c>
      <c r="G34" s="74" t="s">
        <v>174</v>
      </c>
      <c r="H34" s="76" t="n">
        <v>46023</v>
      </c>
      <c r="I34" s="74" t="s">
        <v>188</v>
      </c>
      <c r="J34" s="75" t="n">
        <v>2000</v>
      </c>
      <c r="K34" s="76" t="n">
        <v>45992</v>
      </c>
    </row>
    <row r="35" customFormat="false" ht="15" hidden="false" customHeight="false" outlineLevel="0" collapsed="false">
      <c r="A35" s="74" t="s">
        <v>28</v>
      </c>
      <c r="B35" s="74" t="s">
        <v>172</v>
      </c>
      <c r="C35" s="74" t="s">
        <v>191</v>
      </c>
      <c r="D35" s="74" t="s">
        <v>192</v>
      </c>
      <c r="E35" s="74" t="n">
        <v>25</v>
      </c>
      <c r="F35" s="75" t="n">
        <v>1350</v>
      </c>
      <c r="G35" s="74" t="s">
        <v>174</v>
      </c>
      <c r="H35" s="76" t="n">
        <v>46023</v>
      </c>
      <c r="I35" s="74" t="s">
        <v>175</v>
      </c>
      <c r="J35" s="75"/>
      <c r="K35" s="74"/>
    </row>
    <row r="36" customFormat="false" ht="15" hidden="false" customHeight="false" outlineLevel="0" collapsed="false">
      <c r="A36" s="74" t="s">
        <v>28</v>
      </c>
      <c r="B36" s="74" t="s">
        <v>172</v>
      </c>
      <c r="C36" s="74" t="s">
        <v>64</v>
      </c>
      <c r="D36" s="74" t="s">
        <v>180</v>
      </c>
      <c r="E36" s="74" t="n">
        <v>25</v>
      </c>
      <c r="F36" s="75" t="n">
        <v>1900</v>
      </c>
      <c r="G36" s="74" t="s">
        <v>208</v>
      </c>
      <c r="H36" s="76" t="n">
        <v>46054</v>
      </c>
      <c r="I36" s="74" t="s">
        <v>175</v>
      </c>
      <c r="J36" s="75"/>
      <c r="K36" s="74"/>
    </row>
    <row r="37" customFormat="false" ht="15" hidden="false" customHeight="false" outlineLevel="0" collapsed="false">
      <c r="A37" s="74" t="s">
        <v>28</v>
      </c>
      <c r="B37" s="74" t="s">
        <v>172</v>
      </c>
      <c r="C37" s="74" t="s">
        <v>194</v>
      </c>
      <c r="D37" s="74" t="s">
        <v>195</v>
      </c>
      <c r="E37" s="74" t="n">
        <v>30</v>
      </c>
      <c r="F37" s="75" t="n">
        <v>4000</v>
      </c>
      <c r="G37" s="74"/>
      <c r="H37" s="76" t="n">
        <v>46054</v>
      </c>
      <c r="I37" s="74" t="s">
        <v>175</v>
      </c>
      <c r="J37" s="75"/>
      <c r="K37" s="74"/>
    </row>
    <row r="38" customFormat="false" ht="15" hidden="false" customHeight="false" outlineLevel="0" collapsed="false">
      <c r="A38" s="74" t="s">
        <v>28</v>
      </c>
      <c r="B38" s="74" t="s">
        <v>172</v>
      </c>
      <c r="C38" s="74" t="s">
        <v>81</v>
      </c>
      <c r="D38" s="74"/>
      <c r="E38" s="74"/>
      <c r="F38" s="75"/>
      <c r="G38" s="74"/>
      <c r="H38" s="76" t="n">
        <v>46054</v>
      </c>
      <c r="I38" s="74"/>
      <c r="J38" s="75"/>
      <c r="K38" s="74"/>
    </row>
    <row r="39" customFormat="false" ht="15" hidden="false" customHeight="false" outlineLevel="0" collapsed="false">
      <c r="A39" s="74" t="s">
        <v>28</v>
      </c>
      <c r="B39" s="74" t="s">
        <v>172</v>
      </c>
      <c r="C39" s="74" t="s">
        <v>71</v>
      </c>
      <c r="D39" s="74" t="s">
        <v>199</v>
      </c>
      <c r="E39" s="74" t="n">
        <v>30</v>
      </c>
      <c r="F39" s="75" t="n">
        <v>2000</v>
      </c>
      <c r="G39" s="74" t="s">
        <v>211</v>
      </c>
      <c r="H39" s="76" t="n">
        <v>46054</v>
      </c>
      <c r="I39" s="74" t="s">
        <v>188</v>
      </c>
      <c r="J39" s="75" t="n">
        <v>2000</v>
      </c>
      <c r="K39" s="76" t="n">
        <v>46023</v>
      </c>
    </row>
    <row r="40" customFormat="false" ht="15" hidden="false" customHeight="false" outlineLevel="0" collapsed="false">
      <c r="A40" s="74" t="s">
        <v>28</v>
      </c>
      <c r="B40" s="74" t="s">
        <v>172</v>
      </c>
      <c r="C40" s="74" t="s">
        <v>201</v>
      </c>
      <c r="D40" s="74" t="s">
        <v>177</v>
      </c>
      <c r="E40" s="74" t="n">
        <v>28</v>
      </c>
      <c r="F40" s="75" t="n">
        <v>3000</v>
      </c>
      <c r="G40" s="74" t="s">
        <v>174</v>
      </c>
      <c r="H40" s="76" t="n">
        <v>46054</v>
      </c>
      <c r="I40" s="74" t="s">
        <v>175</v>
      </c>
      <c r="J40" s="75"/>
      <c r="K40" s="74"/>
    </row>
    <row r="41" customFormat="false" ht="15" hidden="false" customHeight="false" outlineLevel="0" collapsed="false">
      <c r="A41" s="74" t="s">
        <v>28</v>
      </c>
      <c r="B41" s="74" t="s">
        <v>172</v>
      </c>
      <c r="C41" s="74" t="s">
        <v>203</v>
      </c>
      <c r="D41" s="74" t="s">
        <v>204</v>
      </c>
      <c r="E41" s="74" t="n">
        <v>30</v>
      </c>
      <c r="F41" s="75" t="n">
        <v>2750</v>
      </c>
      <c r="G41" s="74" t="s">
        <v>174</v>
      </c>
      <c r="H41" s="76" t="n">
        <v>46054</v>
      </c>
      <c r="I41" s="74" t="s">
        <v>175</v>
      </c>
      <c r="J41" s="75"/>
      <c r="K41" s="74"/>
    </row>
    <row r="42" customFormat="false" ht="15" hidden="false" customHeight="false" outlineLevel="0" collapsed="false">
      <c r="A42" s="74" t="s">
        <v>28</v>
      </c>
      <c r="B42" s="74" t="s">
        <v>172</v>
      </c>
      <c r="C42" s="74" t="s">
        <v>205</v>
      </c>
      <c r="D42" s="74" t="s">
        <v>197</v>
      </c>
      <c r="E42" s="74" t="n">
        <v>30</v>
      </c>
      <c r="F42" s="75" t="n">
        <v>600</v>
      </c>
      <c r="G42" s="74" t="s">
        <v>174</v>
      </c>
      <c r="H42" s="76" t="n">
        <v>46054</v>
      </c>
      <c r="I42" s="74" t="s">
        <v>175</v>
      </c>
      <c r="J42" s="75" t="n">
        <v>600</v>
      </c>
      <c r="K42" s="76" t="n">
        <v>46023</v>
      </c>
    </row>
    <row r="43" customFormat="false" ht="15" hidden="false" customHeight="false" outlineLevel="0" collapsed="false">
      <c r="A43" s="74" t="s">
        <v>31</v>
      </c>
      <c r="B43" s="74" t="s">
        <v>172</v>
      </c>
      <c r="C43" s="74" t="s">
        <v>83</v>
      </c>
      <c r="D43" s="74" t="s">
        <v>173</v>
      </c>
      <c r="E43" s="74" t="n">
        <v>5</v>
      </c>
      <c r="F43" s="75" t="n">
        <v>800</v>
      </c>
      <c r="G43" s="74" t="s">
        <v>174</v>
      </c>
      <c r="H43" s="76" t="n">
        <v>46054</v>
      </c>
      <c r="I43" s="74" t="s">
        <v>175</v>
      </c>
      <c r="J43" s="75"/>
      <c r="K43" s="74"/>
    </row>
    <row r="44" customFormat="false" ht="15" hidden="false" customHeight="false" outlineLevel="0" collapsed="false">
      <c r="A44" s="74" t="s">
        <v>31</v>
      </c>
      <c r="B44" s="74" t="s">
        <v>172</v>
      </c>
      <c r="C44" s="74" t="s">
        <v>176</v>
      </c>
      <c r="D44" s="74" t="s">
        <v>177</v>
      </c>
      <c r="E44" s="74" t="n">
        <v>5</v>
      </c>
      <c r="F44" s="75" t="n">
        <v>1200</v>
      </c>
      <c r="G44" s="74" t="s">
        <v>212</v>
      </c>
      <c r="H44" s="76" t="n">
        <v>46054</v>
      </c>
      <c r="I44" s="74"/>
      <c r="J44" s="75"/>
      <c r="K44" s="74"/>
    </row>
    <row r="45" customFormat="false" ht="15" hidden="false" customHeight="false" outlineLevel="0" collapsed="false">
      <c r="A45" s="74" t="s">
        <v>31</v>
      </c>
      <c r="B45" s="74" t="s">
        <v>172</v>
      </c>
      <c r="C45" s="74" t="s">
        <v>82</v>
      </c>
      <c r="D45" s="74" t="s">
        <v>177</v>
      </c>
      <c r="E45" s="74" t="n">
        <v>5</v>
      </c>
      <c r="F45" s="75" t="n">
        <v>750</v>
      </c>
      <c r="G45" s="74" t="s">
        <v>212</v>
      </c>
      <c r="H45" s="76" t="n">
        <v>46082</v>
      </c>
      <c r="I45" s="74" t="s">
        <v>175</v>
      </c>
      <c r="J45" s="75"/>
      <c r="K45" s="74"/>
    </row>
    <row r="46" customFormat="false" ht="15" hidden="false" customHeight="false" outlineLevel="0" collapsed="false">
      <c r="A46" s="74" t="s">
        <v>31</v>
      </c>
      <c r="B46" s="74" t="s">
        <v>172</v>
      </c>
      <c r="C46" s="74" t="s">
        <v>72</v>
      </c>
      <c r="D46" s="74" t="s">
        <v>177</v>
      </c>
      <c r="E46" s="74" t="n">
        <v>6</v>
      </c>
      <c r="F46" s="75" t="n">
        <v>2750</v>
      </c>
      <c r="G46" s="74" t="s">
        <v>213</v>
      </c>
      <c r="H46" s="76" t="n">
        <v>46082</v>
      </c>
      <c r="I46" s="74" t="s">
        <v>175</v>
      </c>
      <c r="J46" s="75"/>
      <c r="K46" s="74"/>
    </row>
    <row r="47" customFormat="false" ht="15" hidden="false" customHeight="false" outlineLevel="0" collapsed="false">
      <c r="A47" s="74" t="s">
        <v>31</v>
      </c>
      <c r="B47" s="74" t="s">
        <v>172</v>
      </c>
      <c r="C47" s="74" t="s">
        <v>75</v>
      </c>
      <c r="D47" s="74" t="s">
        <v>180</v>
      </c>
      <c r="E47" s="74" t="n">
        <v>10</v>
      </c>
      <c r="F47" s="75" t="n">
        <v>2500</v>
      </c>
      <c r="G47" s="74" t="s">
        <v>214</v>
      </c>
      <c r="H47" s="76" t="n">
        <v>46054</v>
      </c>
      <c r="I47" s="74"/>
      <c r="J47" s="75"/>
      <c r="K47" s="74"/>
    </row>
    <row r="48" customFormat="false" ht="15" hidden="false" customHeight="false" outlineLevel="0" collapsed="false">
      <c r="A48" s="74" t="s">
        <v>31</v>
      </c>
      <c r="B48" s="74" t="s">
        <v>172</v>
      </c>
      <c r="C48" s="74" t="s">
        <v>182</v>
      </c>
      <c r="D48" s="74" t="s">
        <v>177</v>
      </c>
      <c r="E48" s="74" t="n">
        <v>12</v>
      </c>
      <c r="F48" s="75" t="n">
        <v>1500</v>
      </c>
      <c r="G48" s="74" t="s">
        <v>174</v>
      </c>
      <c r="H48" s="76" t="n">
        <v>46082</v>
      </c>
      <c r="I48" s="74"/>
      <c r="J48" s="75"/>
      <c r="K48" s="74"/>
    </row>
    <row r="49" customFormat="false" ht="15" hidden="false" customHeight="false" outlineLevel="0" collapsed="false">
      <c r="A49" s="74" t="s">
        <v>31</v>
      </c>
      <c r="B49" s="74" t="s">
        <v>172</v>
      </c>
      <c r="C49" s="74" t="s">
        <v>183</v>
      </c>
      <c r="D49" s="74" t="s">
        <v>184</v>
      </c>
      <c r="E49" s="74" t="n">
        <v>16</v>
      </c>
      <c r="F49" s="75" t="n">
        <v>600</v>
      </c>
      <c r="G49" s="74" t="s">
        <v>174</v>
      </c>
      <c r="H49" s="76" t="n">
        <v>46082</v>
      </c>
      <c r="I49" s="74"/>
      <c r="J49" s="75"/>
      <c r="K49" s="74"/>
    </row>
    <row r="50" customFormat="false" ht="15" hidden="false" customHeight="false" outlineLevel="0" collapsed="false">
      <c r="A50" s="74" t="s">
        <v>31</v>
      </c>
      <c r="B50" s="74" t="s">
        <v>172</v>
      </c>
      <c r="C50" s="74" t="s">
        <v>80</v>
      </c>
      <c r="D50" s="74"/>
      <c r="E50" s="74"/>
      <c r="F50" s="75" t="n">
        <v>1000</v>
      </c>
      <c r="G50" s="74"/>
      <c r="H50" s="74"/>
      <c r="I50" s="74"/>
      <c r="J50" s="75"/>
      <c r="K50" s="74"/>
    </row>
    <row r="51" customFormat="false" ht="15" hidden="false" customHeight="false" outlineLevel="0" collapsed="false">
      <c r="A51" s="74" t="s">
        <v>31</v>
      </c>
      <c r="B51" s="74" t="s">
        <v>172</v>
      </c>
      <c r="C51" s="74" t="s">
        <v>73</v>
      </c>
      <c r="D51" s="74" t="s">
        <v>185</v>
      </c>
      <c r="E51" s="74" t="n">
        <v>25</v>
      </c>
      <c r="F51" s="75" t="n">
        <v>1200</v>
      </c>
      <c r="G51" s="74" t="s">
        <v>215</v>
      </c>
      <c r="H51" s="74"/>
      <c r="I51" s="74"/>
      <c r="J51" s="75"/>
      <c r="K51" s="74"/>
    </row>
    <row r="52" customFormat="false" ht="15" hidden="false" customHeight="false" outlineLevel="0" collapsed="false">
      <c r="A52" s="74" t="s">
        <v>31</v>
      </c>
      <c r="B52" s="74" t="s">
        <v>172</v>
      </c>
      <c r="C52" s="74" t="s">
        <v>86</v>
      </c>
      <c r="D52" s="74" t="s">
        <v>187</v>
      </c>
      <c r="E52" s="74"/>
      <c r="F52" s="75"/>
      <c r="G52" s="74"/>
      <c r="H52" s="74"/>
      <c r="I52" s="74"/>
      <c r="J52" s="75"/>
      <c r="K52" s="74"/>
    </row>
    <row r="53" customFormat="false" ht="15" hidden="false" customHeight="false" outlineLevel="0" collapsed="false">
      <c r="A53" s="74" t="s">
        <v>31</v>
      </c>
      <c r="B53" s="74" t="s">
        <v>172</v>
      </c>
      <c r="C53" s="74" t="s">
        <v>189</v>
      </c>
      <c r="D53" s="74" t="s">
        <v>190</v>
      </c>
      <c r="E53" s="74" t="n">
        <v>25</v>
      </c>
      <c r="F53" s="75" t="n">
        <v>2000</v>
      </c>
      <c r="G53" s="74" t="s">
        <v>174</v>
      </c>
      <c r="H53" s="76" t="n">
        <v>46054</v>
      </c>
      <c r="I53" s="74"/>
      <c r="J53" s="75"/>
      <c r="K53" s="74"/>
    </row>
    <row r="54" customFormat="false" ht="15" hidden="false" customHeight="false" outlineLevel="0" collapsed="false">
      <c r="A54" s="74" t="s">
        <v>31</v>
      </c>
      <c r="B54" s="74" t="s">
        <v>172</v>
      </c>
      <c r="C54" s="74" t="s">
        <v>191</v>
      </c>
      <c r="D54" s="74" t="s">
        <v>192</v>
      </c>
      <c r="E54" s="74" t="n">
        <v>25</v>
      </c>
      <c r="F54" s="75" t="n">
        <v>1350</v>
      </c>
      <c r="G54" s="74" t="s">
        <v>174</v>
      </c>
      <c r="H54" s="76" t="n">
        <v>46054</v>
      </c>
      <c r="I54" s="74"/>
      <c r="J54" s="75"/>
      <c r="K54" s="74"/>
    </row>
    <row r="55" customFormat="false" ht="15" hidden="false" customHeight="false" outlineLevel="0" collapsed="false">
      <c r="A55" s="74" t="s">
        <v>31</v>
      </c>
      <c r="B55" s="74" t="s">
        <v>172</v>
      </c>
      <c r="C55" s="74" t="s">
        <v>64</v>
      </c>
      <c r="D55" s="74" t="s">
        <v>180</v>
      </c>
      <c r="E55" s="74" t="n">
        <v>25</v>
      </c>
      <c r="F55" s="75" t="n">
        <v>1900</v>
      </c>
      <c r="G55" s="74" t="s">
        <v>213</v>
      </c>
      <c r="H55" s="76" t="n">
        <v>46082</v>
      </c>
      <c r="I55" s="74"/>
      <c r="J55" s="75"/>
      <c r="K55" s="74"/>
    </row>
    <row r="56" customFormat="false" ht="15" hidden="false" customHeight="false" outlineLevel="0" collapsed="false">
      <c r="A56" s="74" t="s">
        <v>31</v>
      </c>
      <c r="B56" s="74" t="s">
        <v>172</v>
      </c>
      <c r="C56" s="74" t="s">
        <v>194</v>
      </c>
      <c r="D56" s="74" t="s">
        <v>195</v>
      </c>
      <c r="E56" s="74" t="n">
        <v>30</v>
      </c>
      <c r="F56" s="75" t="n">
        <v>4500</v>
      </c>
      <c r="G56" s="74"/>
      <c r="H56" s="76" t="n">
        <v>46082</v>
      </c>
      <c r="I56" s="74"/>
      <c r="J56" s="75"/>
      <c r="K56" s="74"/>
    </row>
    <row r="57" customFormat="false" ht="15" hidden="false" customHeight="false" outlineLevel="0" collapsed="false">
      <c r="A57" s="74" t="s">
        <v>31</v>
      </c>
      <c r="B57" s="74" t="s">
        <v>172</v>
      </c>
      <c r="C57" s="74" t="s">
        <v>71</v>
      </c>
      <c r="D57" s="74" t="s">
        <v>199</v>
      </c>
      <c r="E57" s="74" t="n">
        <v>30</v>
      </c>
      <c r="F57" s="75" t="n">
        <v>2000</v>
      </c>
      <c r="G57" s="74" t="s">
        <v>216</v>
      </c>
      <c r="H57" s="76" t="n">
        <v>46082</v>
      </c>
      <c r="I57" s="74"/>
      <c r="J57" s="75"/>
      <c r="K57" s="74"/>
    </row>
    <row r="58" customFormat="false" ht="15" hidden="false" customHeight="false" outlineLevel="0" collapsed="false">
      <c r="A58" s="74" t="s">
        <v>31</v>
      </c>
      <c r="B58" s="74" t="s">
        <v>172</v>
      </c>
      <c r="C58" s="74" t="s">
        <v>201</v>
      </c>
      <c r="D58" s="74" t="s">
        <v>177</v>
      </c>
      <c r="E58" s="74" t="n">
        <v>28</v>
      </c>
      <c r="F58" s="75" t="n">
        <v>3000</v>
      </c>
      <c r="G58" s="74" t="s">
        <v>174</v>
      </c>
      <c r="H58" s="76" t="n">
        <v>46082</v>
      </c>
      <c r="I58" s="74"/>
      <c r="J58" s="75"/>
      <c r="K58" s="74"/>
    </row>
    <row r="59" customFormat="false" ht="15" hidden="false" customHeight="false" outlineLevel="0" collapsed="false">
      <c r="A59" s="74" t="s">
        <v>31</v>
      </c>
      <c r="B59" s="74" t="s">
        <v>172</v>
      </c>
      <c r="C59" s="74" t="s">
        <v>203</v>
      </c>
      <c r="D59" s="74" t="s">
        <v>204</v>
      </c>
      <c r="E59" s="74" t="n">
        <v>30</v>
      </c>
      <c r="F59" s="75" t="n">
        <v>2000</v>
      </c>
      <c r="G59" s="74" t="s">
        <v>174</v>
      </c>
      <c r="H59" s="76" t="n">
        <v>46082</v>
      </c>
      <c r="I59" s="74"/>
      <c r="J59" s="75"/>
      <c r="K59" s="74"/>
    </row>
    <row r="60" customFormat="false" ht="15" hidden="false" customHeight="false" outlineLevel="0" collapsed="false">
      <c r="A60" s="74" t="s">
        <v>31</v>
      </c>
      <c r="B60" s="74" t="s">
        <v>172</v>
      </c>
      <c r="C60" s="74" t="s">
        <v>205</v>
      </c>
      <c r="D60" s="74" t="s">
        <v>197</v>
      </c>
      <c r="E60" s="74" t="n">
        <v>30</v>
      </c>
      <c r="F60" s="75"/>
      <c r="G60" s="74" t="s">
        <v>174</v>
      </c>
      <c r="H60" s="76" t="n">
        <v>46082</v>
      </c>
      <c r="I60" s="74"/>
      <c r="J60" s="75"/>
      <c r="K60" s="7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47" activeCellId="0" sqref="D14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10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9" min="8" style="1" width="14"/>
  </cols>
  <sheetData>
    <row r="1" customFormat="false" ht="26.85" hidden="false" customHeight="false" outlineLevel="0" collapsed="false">
      <c r="A1" s="50" t="s">
        <v>51</v>
      </c>
      <c r="B1" s="50" t="s">
        <v>22</v>
      </c>
      <c r="C1" s="50" t="s">
        <v>17</v>
      </c>
      <c r="D1" s="50" t="s">
        <v>90</v>
      </c>
      <c r="E1" s="50" t="s">
        <v>93</v>
      </c>
      <c r="F1" s="50" t="s">
        <v>91</v>
      </c>
      <c r="G1" s="50" t="s">
        <v>92</v>
      </c>
      <c r="H1" s="50" t="s">
        <v>101</v>
      </c>
      <c r="I1" s="50" t="s">
        <v>94</v>
      </c>
    </row>
    <row r="2" customFormat="false" ht="15" hidden="true" customHeight="false" outlineLevel="0" collapsed="false">
      <c r="A2" s="74" t="s">
        <v>24</v>
      </c>
      <c r="B2" s="74" t="s">
        <v>69</v>
      </c>
      <c r="C2" s="74" t="s">
        <v>217</v>
      </c>
      <c r="D2" s="75" t="n">
        <v>3446</v>
      </c>
      <c r="E2" s="74" t="n">
        <v>20</v>
      </c>
      <c r="F2" s="74" t="s">
        <v>187</v>
      </c>
      <c r="G2" s="74" t="s">
        <v>175</v>
      </c>
      <c r="H2" s="74"/>
      <c r="I2" s="74"/>
    </row>
    <row r="3" customFormat="false" ht="15" hidden="true" customHeight="false" outlineLevel="0" collapsed="false">
      <c r="A3" s="74" t="s">
        <v>28</v>
      </c>
      <c r="B3" s="74" t="s">
        <v>69</v>
      </c>
      <c r="C3" s="74" t="s">
        <v>217</v>
      </c>
      <c r="D3" s="75" t="n">
        <v>3446</v>
      </c>
      <c r="E3" s="74" t="n">
        <v>20</v>
      </c>
      <c r="F3" s="74"/>
      <c r="G3" s="74" t="s">
        <v>175</v>
      </c>
      <c r="H3" s="74"/>
      <c r="I3" s="74"/>
    </row>
    <row r="4" customFormat="false" ht="15" hidden="false" customHeight="false" outlineLevel="0" collapsed="false">
      <c r="A4" s="74" t="s">
        <v>31</v>
      </c>
      <c r="B4" s="74" t="s">
        <v>69</v>
      </c>
      <c r="C4" s="74" t="s">
        <v>217</v>
      </c>
      <c r="D4" s="75" t="n">
        <v>3446</v>
      </c>
      <c r="E4" s="74" t="n">
        <v>20</v>
      </c>
      <c r="F4" s="74"/>
      <c r="G4" s="74"/>
      <c r="H4" s="74"/>
      <c r="I4" s="74"/>
    </row>
    <row r="5" customFormat="false" ht="15" hidden="true" customHeight="false" outlineLevel="0" collapsed="false">
      <c r="A5" s="74" t="s">
        <v>34</v>
      </c>
      <c r="B5" s="74" t="s">
        <v>69</v>
      </c>
      <c r="C5" s="74" t="s">
        <v>217</v>
      </c>
      <c r="D5" s="75" t="n">
        <v>3446</v>
      </c>
      <c r="E5" s="74" t="n">
        <v>20</v>
      </c>
      <c r="F5" s="74"/>
      <c r="G5" s="74"/>
      <c r="H5" s="74"/>
      <c r="I5" s="74"/>
    </row>
    <row r="6" customFormat="false" ht="15" hidden="true" customHeight="false" outlineLevel="0" collapsed="false">
      <c r="A6" s="74" t="s">
        <v>38</v>
      </c>
      <c r="B6" s="74" t="s">
        <v>69</v>
      </c>
      <c r="C6" s="74" t="s">
        <v>217</v>
      </c>
      <c r="D6" s="75" t="n">
        <v>3446</v>
      </c>
      <c r="E6" s="74" t="n">
        <v>20</v>
      </c>
      <c r="F6" s="74"/>
      <c r="G6" s="74"/>
      <c r="H6" s="74"/>
      <c r="I6" s="74"/>
    </row>
    <row r="7" customFormat="false" ht="15" hidden="true" customHeight="false" outlineLevel="0" collapsed="false">
      <c r="A7" s="74" t="s">
        <v>28</v>
      </c>
      <c r="B7" s="74" t="s">
        <v>69</v>
      </c>
      <c r="C7" s="74" t="s">
        <v>218</v>
      </c>
      <c r="D7" s="75" t="n">
        <v>457.6</v>
      </c>
      <c r="E7" s="74"/>
      <c r="F7" s="74"/>
      <c r="G7" s="74"/>
      <c r="H7" s="74"/>
      <c r="I7" s="74"/>
    </row>
    <row r="8" customFormat="false" ht="15" hidden="true" customHeight="false" outlineLevel="0" collapsed="false">
      <c r="A8" s="74" t="s">
        <v>24</v>
      </c>
      <c r="B8" s="74" t="s">
        <v>69</v>
      </c>
      <c r="C8" s="74" t="s">
        <v>219</v>
      </c>
      <c r="D8" s="75" t="n">
        <v>1834</v>
      </c>
      <c r="E8" s="74" t="n">
        <v>23</v>
      </c>
      <c r="F8" s="74" t="s">
        <v>187</v>
      </c>
      <c r="G8" s="74" t="s">
        <v>175</v>
      </c>
      <c r="H8" s="74"/>
      <c r="I8" s="74"/>
    </row>
    <row r="9" customFormat="false" ht="15" hidden="true" customHeight="false" outlineLevel="0" collapsed="false">
      <c r="A9" s="74" t="s">
        <v>28</v>
      </c>
      <c r="B9" s="74" t="s">
        <v>69</v>
      </c>
      <c r="C9" s="74" t="s">
        <v>219</v>
      </c>
      <c r="D9" s="75" t="n">
        <v>1834</v>
      </c>
      <c r="E9" s="74" t="n">
        <v>23</v>
      </c>
      <c r="F9" s="74"/>
      <c r="G9" s="74" t="s">
        <v>175</v>
      </c>
      <c r="H9" s="74"/>
      <c r="I9" s="74"/>
    </row>
    <row r="10" customFormat="false" ht="15" hidden="false" customHeight="false" outlineLevel="0" collapsed="false">
      <c r="A10" s="74" t="s">
        <v>31</v>
      </c>
      <c r="B10" s="74" t="s">
        <v>69</v>
      </c>
      <c r="C10" s="74" t="s">
        <v>219</v>
      </c>
      <c r="D10" s="75" t="n">
        <v>1834</v>
      </c>
      <c r="E10" s="74" t="n">
        <v>23</v>
      </c>
      <c r="F10" s="74"/>
      <c r="G10" s="74"/>
      <c r="H10" s="74"/>
      <c r="I10" s="74"/>
    </row>
    <row r="11" customFormat="false" ht="15" hidden="true" customHeight="false" outlineLevel="0" collapsed="false">
      <c r="A11" s="74" t="s">
        <v>34</v>
      </c>
      <c r="B11" s="74" t="s">
        <v>69</v>
      </c>
      <c r="C11" s="74" t="s">
        <v>219</v>
      </c>
      <c r="D11" s="75" t="n">
        <v>1834</v>
      </c>
      <c r="E11" s="74" t="n">
        <v>23</v>
      </c>
      <c r="F11" s="74"/>
      <c r="G11" s="74"/>
      <c r="H11" s="74"/>
      <c r="I11" s="74"/>
    </row>
    <row r="12" customFormat="false" ht="15" hidden="true" customHeight="false" outlineLevel="0" collapsed="false">
      <c r="A12" s="74" t="s">
        <v>38</v>
      </c>
      <c r="B12" s="74" t="s">
        <v>69</v>
      </c>
      <c r="C12" s="74" t="s">
        <v>219</v>
      </c>
      <c r="D12" s="75" t="n">
        <v>1834</v>
      </c>
      <c r="E12" s="74" t="n">
        <v>23</v>
      </c>
      <c r="F12" s="74"/>
      <c r="G12" s="74"/>
      <c r="H12" s="74"/>
      <c r="I12" s="74"/>
    </row>
    <row r="13" customFormat="false" ht="15" hidden="true" customHeight="false" outlineLevel="0" collapsed="false">
      <c r="A13" s="74" t="s">
        <v>24</v>
      </c>
      <c r="B13" s="74" t="s">
        <v>69</v>
      </c>
      <c r="C13" s="74" t="s">
        <v>220</v>
      </c>
      <c r="D13" s="75" t="n">
        <v>2500</v>
      </c>
      <c r="E13" s="74" t="n">
        <v>20</v>
      </c>
      <c r="F13" s="74" t="s">
        <v>187</v>
      </c>
      <c r="G13" s="74" t="s">
        <v>175</v>
      </c>
      <c r="H13" s="74"/>
      <c r="I13" s="74"/>
    </row>
    <row r="14" customFormat="false" ht="15" hidden="true" customHeight="false" outlineLevel="0" collapsed="false">
      <c r="A14" s="74" t="s">
        <v>28</v>
      </c>
      <c r="B14" s="74" t="s">
        <v>69</v>
      </c>
      <c r="C14" s="74" t="s">
        <v>220</v>
      </c>
      <c r="D14" s="75" t="n">
        <v>2500</v>
      </c>
      <c r="E14" s="74" t="n">
        <v>20</v>
      </c>
      <c r="F14" s="74"/>
      <c r="G14" s="74" t="s">
        <v>175</v>
      </c>
      <c r="H14" s="74"/>
      <c r="I14" s="74"/>
    </row>
    <row r="15" customFormat="false" ht="15" hidden="false" customHeight="false" outlineLevel="0" collapsed="false">
      <c r="A15" s="74" t="s">
        <v>31</v>
      </c>
      <c r="B15" s="74" t="s">
        <v>69</v>
      </c>
      <c r="C15" s="74" t="s">
        <v>220</v>
      </c>
      <c r="D15" s="75" t="n">
        <v>2500</v>
      </c>
      <c r="E15" s="74" t="n">
        <v>20</v>
      </c>
      <c r="F15" s="74"/>
      <c r="G15" s="74"/>
      <c r="H15" s="74"/>
      <c r="I15" s="74"/>
    </row>
    <row r="16" customFormat="false" ht="15" hidden="true" customHeight="false" outlineLevel="0" collapsed="false">
      <c r="A16" s="74" t="s">
        <v>34</v>
      </c>
      <c r="B16" s="74" t="s">
        <v>69</v>
      </c>
      <c r="C16" s="74" t="s">
        <v>220</v>
      </c>
      <c r="D16" s="75" t="n">
        <v>2500</v>
      </c>
      <c r="E16" s="74" t="n">
        <v>20</v>
      </c>
      <c r="F16" s="74"/>
      <c r="G16" s="74"/>
      <c r="H16" s="74"/>
      <c r="I16" s="74"/>
    </row>
    <row r="17" customFormat="false" ht="15" hidden="true" customHeight="false" outlineLevel="0" collapsed="false">
      <c r="A17" s="74" t="s">
        <v>38</v>
      </c>
      <c r="B17" s="74" t="s">
        <v>69</v>
      </c>
      <c r="C17" s="74" t="s">
        <v>220</v>
      </c>
      <c r="D17" s="75" t="n">
        <v>2500</v>
      </c>
      <c r="E17" s="74" t="n">
        <v>20</v>
      </c>
      <c r="F17" s="74"/>
      <c r="G17" s="74"/>
      <c r="H17" s="74"/>
      <c r="I17" s="74"/>
    </row>
    <row r="18" customFormat="false" ht="15" hidden="true" customHeight="false" outlineLevel="0" collapsed="false">
      <c r="A18" s="74" t="s">
        <v>24</v>
      </c>
      <c r="B18" s="74" t="s">
        <v>69</v>
      </c>
      <c r="C18" s="74" t="s">
        <v>221</v>
      </c>
      <c r="D18" s="75" t="n">
        <v>2500</v>
      </c>
      <c r="E18" s="74" t="n">
        <v>13</v>
      </c>
      <c r="F18" s="74" t="s">
        <v>187</v>
      </c>
      <c r="G18" s="74" t="s">
        <v>175</v>
      </c>
      <c r="H18" s="74"/>
      <c r="I18" s="74"/>
    </row>
    <row r="19" customFormat="false" ht="15" hidden="true" customHeight="false" outlineLevel="0" collapsed="false">
      <c r="A19" s="74" t="s">
        <v>28</v>
      </c>
      <c r="B19" s="74" t="s">
        <v>69</v>
      </c>
      <c r="C19" s="74" t="s">
        <v>221</v>
      </c>
      <c r="D19" s="75" t="n">
        <v>2500</v>
      </c>
      <c r="E19" s="74" t="n">
        <v>13</v>
      </c>
      <c r="F19" s="74"/>
      <c r="G19" s="74" t="s">
        <v>175</v>
      </c>
      <c r="H19" s="74"/>
      <c r="I19" s="74"/>
    </row>
    <row r="20" customFormat="false" ht="15" hidden="false" customHeight="false" outlineLevel="0" collapsed="false">
      <c r="A20" s="74" t="s">
        <v>31</v>
      </c>
      <c r="B20" s="74" t="s">
        <v>69</v>
      </c>
      <c r="C20" s="74" t="s">
        <v>221</v>
      </c>
      <c r="D20" s="75" t="n">
        <v>2500</v>
      </c>
      <c r="E20" s="74" t="n">
        <v>13</v>
      </c>
      <c r="F20" s="74"/>
      <c r="G20" s="74"/>
      <c r="H20" s="74"/>
      <c r="I20" s="74"/>
    </row>
    <row r="21" customFormat="false" ht="15" hidden="true" customHeight="false" outlineLevel="0" collapsed="false">
      <c r="A21" s="74" t="s">
        <v>34</v>
      </c>
      <c r="B21" s="74" t="s">
        <v>69</v>
      </c>
      <c r="C21" s="74" t="s">
        <v>221</v>
      </c>
      <c r="D21" s="75" t="n">
        <v>2500</v>
      </c>
      <c r="E21" s="74" t="n">
        <v>13</v>
      </c>
      <c r="F21" s="74"/>
      <c r="G21" s="74"/>
      <c r="H21" s="74"/>
      <c r="I21" s="74"/>
    </row>
    <row r="22" customFormat="false" ht="15" hidden="true" customHeight="false" outlineLevel="0" collapsed="false">
      <c r="A22" s="74" t="s">
        <v>38</v>
      </c>
      <c r="B22" s="74" t="s">
        <v>69</v>
      </c>
      <c r="C22" s="74" t="s">
        <v>221</v>
      </c>
      <c r="D22" s="75" t="n">
        <v>2500</v>
      </c>
      <c r="E22" s="74" t="n">
        <v>13</v>
      </c>
      <c r="F22" s="74"/>
      <c r="G22" s="74"/>
      <c r="H22" s="74"/>
      <c r="I22" s="74"/>
    </row>
    <row r="23" customFormat="false" ht="15" hidden="true" customHeight="false" outlineLevel="0" collapsed="false">
      <c r="A23" s="74" t="s">
        <v>24</v>
      </c>
      <c r="B23" s="74" t="s">
        <v>69</v>
      </c>
      <c r="C23" s="74" t="s">
        <v>222</v>
      </c>
      <c r="D23" s="75" t="n">
        <v>2280.9</v>
      </c>
      <c r="E23" s="74" t="n">
        <v>25</v>
      </c>
      <c r="F23" s="74" t="s">
        <v>187</v>
      </c>
      <c r="G23" s="74" t="s">
        <v>175</v>
      </c>
      <c r="H23" s="74"/>
      <c r="I23" s="74"/>
    </row>
    <row r="24" customFormat="false" ht="15" hidden="true" customHeight="false" outlineLevel="0" collapsed="false">
      <c r="A24" s="74" t="s">
        <v>28</v>
      </c>
      <c r="B24" s="74" t="s">
        <v>69</v>
      </c>
      <c r="C24" s="74" t="s">
        <v>222</v>
      </c>
      <c r="D24" s="75" t="n">
        <v>2280.9</v>
      </c>
      <c r="E24" s="74" t="n">
        <v>25</v>
      </c>
      <c r="F24" s="74"/>
      <c r="G24" s="74"/>
      <c r="H24" s="74"/>
      <c r="I24" s="74"/>
    </row>
    <row r="25" customFormat="false" ht="15" hidden="false" customHeight="false" outlineLevel="0" collapsed="false">
      <c r="A25" s="74" t="s">
        <v>31</v>
      </c>
      <c r="B25" s="74" t="s">
        <v>69</v>
      </c>
      <c r="C25" s="74" t="s">
        <v>222</v>
      </c>
      <c r="D25" s="75" t="n">
        <v>2280.9</v>
      </c>
      <c r="E25" s="74" t="n">
        <v>25</v>
      </c>
      <c r="F25" s="74"/>
      <c r="G25" s="74"/>
      <c r="H25" s="74"/>
      <c r="I25" s="74"/>
    </row>
    <row r="26" customFormat="false" ht="15" hidden="true" customHeight="false" outlineLevel="0" collapsed="false">
      <c r="A26" s="74" t="s">
        <v>34</v>
      </c>
      <c r="B26" s="74" t="s">
        <v>69</v>
      </c>
      <c r="C26" s="74" t="s">
        <v>222</v>
      </c>
      <c r="D26" s="75" t="n">
        <v>2280.9</v>
      </c>
      <c r="E26" s="74" t="n">
        <v>25</v>
      </c>
      <c r="F26" s="74"/>
      <c r="G26" s="74"/>
      <c r="H26" s="74"/>
      <c r="I26" s="74"/>
    </row>
    <row r="27" customFormat="false" ht="15" hidden="true" customHeight="false" outlineLevel="0" collapsed="false">
      <c r="A27" s="74" t="s">
        <v>38</v>
      </c>
      <c r="B27" s="74" t="s">
        <v>69</v>
      </c>
      <c r="C27" s="74" t="s">
        <v>222</v>
      </c>
      <c r="D27" s="75" t="n">
        <v>2280.9</v>
      </c>
      <c r="E27" s="74" t="n">
        <v>25</v>
      </c>
      <c r="F27" s="74"/>
      <c r="G27" s="74"/>
      <c r="H27" s="74"/>
      <c r="I27" s="74"/>
    </row>
    <row r="28" customFormat="false" ht="15" hidden="true" customHeight="false" outlineLevel="0" collapsed="false">
      <c r="A28" s="74" t="s">
        <v>24</v>
      </c>
      <c r="B28" s="74" t="s">
        <v>69</v>
      </c>
      <c r="C28" s="74" t="s">
        <v>223</v>
      </c>
      <c r="D28" s="75" t="n">
        <v>1500</v>
      </c>
      <c r="E28" s="74" t="n">
        <v>25</v>
      </c>
      <c r="F28" s="74" t="s">
        <v>187</v>
      </c>
      <c r="G28" s="74" t="s">
        <v>175</v>
      </c>
      <c r="H28" s="74"/>
      <c r="I28" s="74"/>
    </row>
    <row r="29" customFormat="false" ht="15" hidden="true" customHeight="false" outlineLevel="0" collapsed="false">
      <c r="A29" s="74" t="s">
        <v>28</v>
      </c>
      <c r="B29" s="74" t="s">
        <v>69</v>
      </c>
      <c r="C29" s="74" t="s">
        <v>223</v>
      </c>
      <c r="D29" s="75" t="n">
        <v>1500</v>
      </c>
      <c r="E29" s="74" t="n">
        <v>25</v>
      </c>
      <c r="F29" s="74"/>
      <c r="G29" s="74" t="s">
        <v>175</v>
      </c>
      <c r="H29" s="74"/>
      <c r="I29" s="74"/>
    </row>
    <row r="30" customFormat="false" ht="15" hidden="false" customHeight="false" outlineLevel="0" collapsed="false">
      <c r="A30" s="74" t="s">
        <v>31</v>
      </c>
      <c r="B30" s="74" t="s">
        <v>69</v>
      </c>
      <c r="C30" s="74" t="s">
        <v>223</v>
      </c>
      <c r="D30" s="75" t="n">
        <v>2000</v>
      </c>
      <c r="E30" s="74" t="n">
        <v>25</v>
      </c>
      <c r="F30" s="74"/>
      <c r="G30" s="74"/>
      <c r="H30" s="74"/>
      <c r="I30" s="74"/>
    </row>
    <row r="31" customFormat="false" ht="15" hidden="true" customHeight="false" outlineLevel="0" collapsed="false">
      <c r="A31" s="74" t="s">
        <v>34</v>
      </c>
      <c r="B31" s="74" t="s">
        <v>69</v>
      </c>
      <c r="C31" s="74" t="s">
        <v>223</v>
      </c>
      <c r="D31" s="75" t="n">
        <v>1500</v>
      </c>
      <c r="E31" s="74" t="n">
        <v>25</v>
      </c>
      <c r="F31" s="74"/>
      <c r="G31" s="74"/>
      <c r="H31" s="74"/>
      <c r="I31" s="74"/>
    </row>
    <row r="32" customFormat="false" ht="15" hidden="true" customHeight="false" outlineLevel="0" collapsed="false">
      <c r="A32" s="74" t="s">
        <v>38</v>
      </c>
      <c r="B32" s="74" t="s">
        <v>69</v>
      </c>
      <c r="C32" s="74" t="s">
        <v>223</v>
      </c>
      <c r="D32" s="75" t="n">
        <v>1500</v>
      </c>
      <c r="E32" s="74" t="n">
        <v>25</v>
      </c>
      <c r="F32" s="74"/>
      <c r="G32" s="74"/>
      <c r="H32" s="74"/>
      <c r="I32" s="74"/>
    </row>
    <row r="33" customFormat="false" ht="15" hidden="true" customHeight="false" outlineLevel="0" collapsed="false">
      <c r="A33" s="74" t="s">
        <v>24</v>
      </c>
      <c r="B33" s="74" t="s">
        <v>69</v>
      </c>
      <c r="C33" s="74" t="s">
        <v>224</v>
      </c>
      <c r="D33" s="75" t="n">
        <v>1834</v>
      </c>
      <c r="E33" s="74" t="n">
        <v>19</v>
      </c>
      <c r="F33" s="74" t="s">
        <v>187</v>
      </c>
      <c r="G33" s="74" t="s">
        <v>175</v>
      </c>
      <c r="H33" s="74"/>
      <c r="I33" s="74"/>
    </row>
    <row r="34" customFormat="false" ht="15" hidden="true" customHeight="false" outlineLevel="0" collapsed="false">
      <c r="A34" s="74" t="s">
        <v>28</v>
      </c>
      <c r="B34" s="74" t="s">
        <v>69</v>
      </c>
      <c r="C34" s="74" t="s">
        <v>224</v>
      </c>
      <c r="D34" s="75" t="n">
        <v>1834</v>
      </c>
      <c r="E34" s="74" t="n">
        <v>19</v>
      </c>
      <c r="F34" s="74"/>
      <c r="G34" s="74" t="s">
        <v>175</v>
      </c>
      <c r="H34" s="74"/>
      <c r="I34" s="74"/>
    </row>
    <row r="35" customFormat="false" ht="15" hidden="false" customHeight="false" outlineLevel="0" collapsed="false">
      <c r="A35" s="74" t="s">
        <v>31</v>
      </c>
      <c r="B35" s="74" t="s">
        <v>69</v>
      </c>
      <c r="C35" s="74" t="s">
        <v>224</v>
      </c>
      <c r="D35" s="75" t="n">
        <v>1834</v>
      </c>
      <c r="E35" s="74" t="n">
        <v>19</v>
      </c>
      <c r="F35" s="74"/>
      <c r="G35" s="74"/>
      <c r="H35" s="74"/>
      <c r="I35" s="74"/>
    </row>
    <row r="36" customFormat="false" ht="15" hidden="true" customHeight="false" outlineLevel="0" collapsed="false">
      <c r="A36" s="74" t="s">
        <v>34</v>
      </c>
      <c r="B36" s="74" t="s">
        <v>69</v>
      </c>
      <c r="C36" s="74" t="s">
        <v>224</v>
      </c>
      <c r="D36" s="75" t="n">
        <v>1834</v>
      </c>
      <c r="E36" s="74" t="n">
        <v>19</v>
      </c>
      <c r="F36" s="74"/>
      <c r="G36" s="74"/>
      <c r="H36" s="74"/>
      <c r="I36" s="74"/>
    </row>
    <row r="37" customFormat="false" ht="15" hidden="true" customHeight="false" outlineLevel="0" collapsed="false">
      <c r="A37" s="74" t="s">
        <v>38</v>
      </c>
      <c r="B37" s="74" t="s">
        <v>69</v>
      </c>
      <c r="C37" s="74" t="s">
        <v>224</v>
      </c>
      <c r="D37" s="75" t="n">
        <v>1834</v>
      </c>
      <c r="E37" s="74" t="n">
        <v>19</v>
      </c>
      <c r="F37" s="74"/>
      <c r="G37" s="74"/>
      <c r="H37" s="74"/>
      <c r="I37" s="74"/>
    </row>
    <row r="38" customFormat="false" ht="15" hidden="true" customHeight="false" outlineLevel="0" collapsed="false">
      <c r="A38" s="74" t="s">
        <v>24</v>
      </c>
      <c r="B38" s="74" t="s">
        <v>69</v>
      </c>
      <c r="C38" s="74" t="s">
        <v>225</v>
      </c>
      <c r="D38" s="75" t="n">
        <v>1500</v>
      </c>
      <c r="E38" s="74" t="n">
        <v>20</v>
      </c>
      <c r="F38" s="74" t="s">
        <v>187</v>
      </c>
      <c r="G38" s="74" t="s">
        <v>175</v>
      </c>
      <c r="H38" s="74"/>
      <c r="I38" s="74"/>
    </row>
    <row r="39" customFormat="false" ht="15" hidden="true" customHeight="false" outlineLevel="0" collapsed="false">
      <c r="A39" s="74" t="s">
        <v>28</v>
      </c>
      <c r="B39" s="74" t="s">
        <v>69</v>
      </c>
      <c r="C39" s="74" t="s">
        <v>225</v>
      </c>
      <c r="D39" s="75" t="n">
        <v>2000</v>
      </c>
      <c r="E39" s="74" t="n">
        <v>20</v>
      </c>
      <c r="F39" s="74"/>
      <c r="G39" s="74" t="s">
        <v>175</v>
      </c>
      <c r="H39" s="74"/>
      <c r="I39" s="74"/>
    </row>
    <row r="40" customFormat="false" ht="15" hidden="false" customHeight="false" outlineLevel="0" collapsed="false">
      <c r="A40" s="74" t="s">
        <v>31</v>
      </c>
      <c r="B40" s="74" t="s">
        <v>69</v>
      </c>
      <c r="C40" s="74" t="s">
        <v>225</v>
      </c>
      <c r="D40" s="75" t="n">
        <v>1500</v>
      </c>
      <c r="E40" s="74" t="n">
        <v>20</v>
      </c>
      <c r="F40" s="74"/>
      <c r="G40" s="74"/>
      <c r="H40" s="74"/>
      <c r="I40" s="74"/>
    </row>
    <row r="41" customFormat="false" ht="15" hidden="true" customHeight="false" outlineLevel="0" collapsed="false">
      <c r="A41" s="74" t="s">
        <v>34</v>
      </c>
      <c r="B41" s="74" t="s">
        <v>69</v>
      </c>
      <c r="C41" s="74" t="s">
        <v>225</v>
      </c>
      <c r="D41" s="75" t="n">
        <v>1500</v>
      </c>
      <c r="E41" s="74" t="n">
        <v>25</v>
      </c>
      <c r="F41" s="74"/>
      <c r="G41" s="74"/>
      <c r="H41" s="74"/>
      <c r="I41" s="74"/>
    </row>
    <row r="42" customFormat="false" ht="15" hidden="true" customHeight="false" outlineLevel="0" collapsed="false">
      <c r="A42" s="74" t="s">
        <v>38</v>
      </c>
      <c r="B42" s="74" t="s">
        <v>69</v>
      </c>
      <c r="C42" s="74" t="s">
        <v>225</v>
      </c>
      <c r="D42" s="75" t="n">
        <v>1500</v>
      </c>
      <c r="E42" s="74" t="n">
        <v>25</v>
      </c>
      <c r="F42" s="74"/>
      <c r="G42" s="74"/>
      <c r="H42" s="74"/>
      <c r="I42" s="74"/>
    </row>
    <row r="43" customFormat="false" ht="15" hidden="true" customHeight="false" outlineLevel="0" collapsed="false">
      <c r="A43" s="74" t="s">
        <v>24</v>
      </c>
      <c r="B43" s="74" t="s">
        <v>69</v>
      </c>
      <c r="C43" s="74" t="s">
        <v>226</v>
      </c>
      <c r="D43" s="75" t="n">
        <v>188</v>
      </c>
      <c r="E43" s="74" t="n">
        <v>1</v>
      </c>
      <c r="F43" s="74" t="s">
        <v>187</v>
      </c>
      <c r="G43" s="74" t="s">
        <v>175</v>
      </c>
      <c r="H43" s="74"/>
      <c r="I43" s="74"/>
    </row>
    <row r="44" customFormat="false" ht="15" hidden="true" customHeight="false" outlineLevel="0" collapsed="false">
      <c r="A44" s="74" t="s">
        <v>28</v>
      </c>
      <c r="B44" s="74" t="s">
        <v>69</v>
      </c>
      <c r="C44" s="74" t="s">
        <v>226</v>
      </c>
      <c r="D44" s="75" t="n">
        <v>164.5</v>
      </c>
      <c r="E44" s="74" t="n">
        <v>1</v>
      </c>
      <c r="F44" s="74"/>
      <c r="G44" s="74" t="s">
        <v>175</v>
      </c>
      <c r="H44" s="74"/>
      <c r="I44" s="74"/>
    </row>
    <row r="45" customFormat="false" ht="15" hidden="false" customHeight="false" outlineLevel="0" collapsed="false">
      <c r="A45" s="74" t="s">
        <v>31</v>
      </c>
      <c r="B45" s="74" t="s">
        <v>69</v>
      </c>
      <c r="C45" s="74" t="s">
        <v>226</v>
      </c>
      <c r="D45" s="75"/>
      <c r="E45" s="74" t="n">
        <v>1</v>
      </c>
      <c r="F45" s="74"/>
      <c r="G45" s="74"/>
      <c r="H45" s="74"/>
      <c r="I45" s="74"/>
    </row>
    <row r="46" customFormat="false" ht="15" hidden="true" customHeight="false" outlineLevel="0" collapsed="false">
      <c r="A46" s="74" t="s">
        <v>34</v>
      </c>
      <c r="B46" s="74" t="s">
        <v>69</v>
      </c>
      <c r="C46" s="74" t="s">
        <v>226</v>
      </c>
      <c r="D46" s="75"/>
      <c r="E46" s="74" t="n">
        <v>1</v>
      </c>
      <c r="F46" s="74"/>
      <c r="G46" s="74"/>
      <c r="H46" s="74"/>
      <c r="I46" s="74"/>
    </row>
    <row r="47" customFormat="false" ht="15" hidden="true" customHeight="false" outlineLevel="0" collapsed="false">
      <c r="A47" s="74" t="s">
        <v>38</v>
      </c>
      <c r="B47" s="74" t="s">
        <v>69</v>
      </c>
      <c r="C47" s="74" t="s">
        <v>226</v>
      </c>
      <c r="D47" s="75"/>
      <c r="E47" s="74" t="n">
        <v>1</v>
      </c>
      <c r="F47" s="74"/>
      <c r="G47" s="74"/>
      <c r="H47" s="74"/>
      <c r="I47" s="74"/>
    </row>
    <row r="48" customFormat="false" ht="15" hidden="true" customHeight="false" outlineLevel="0" collapsed="false">
      <c r="A48" s="74" t="s">
        <v>24</v>
      </c>
      <c r="B48" s="74" t="s">
        <v>69</v>
      </c>
      <c r="C48" s="74" t="s">
        <v>227</v>
      </c>
      <c r="D48" s="75"/>
      <c r="E48" s="74" t="n">
        <v>1</v>
      </c>
      <c r="F48" s="74" t="s">
        <v>187</v>
      </c>
      <c r="G48" s="74" t="s">
        <v>175</v>
      </c>
      <c r="H48" s="74"/>
      <c r="I48" s="74"/>
    </row>
    <row r="49" customFormat="false" ht="15" hidden="true" customHeight="false" outlineLevel="0" collapsed="false">
      <c r="A49" s="74" t="s">
        <v>28</v>
      </c>
      <c r="B49" s="74" t="s">
        <v>69</v>
      </c>
      <c r="C49" s="74" t="s">
        <v>227</v>
      </c>
      <c r="D49" s="75" t="n">
        <v>37.1</v>
      </c>
      <c r="E49" s="74" t="n">
        <v>1</v>
      </c>
      <c r="F49" s="74"/>
      <c r="G49" s="74" t="s">
        <v>175</v>
      </c>
      <c r="H49" s="74"/>
      <c r="I49" s="74"/>
    </row>
    <row r="50" customFormat="false" ht="15" hidden="false" customHeight="false" outlineLevel="0" collapsed="false">
      <c r="A50" s="74" t="s">
        <v>31</v>
      </c>
      <c r="B50" s="74" t="s">
        <v>69</v>
      </c>
      <c r="C50" s="74" t="s">
        <v>227</v>
      </c>
      <c r="D50" s="75"/>
      <c r="E50" s="74" t="n">
        <v>1</v>
      </c>
      <c r="F50" s="74"/>
      <c r="G50" s="74"/>
      <c r="H50" s="74"/>
      <c r="I50" s="74"/>
    </row>
    <row r="51" customFormat="false" ht="15" hidden="true" customHeight="false" outlineLevel="0" collapsed="false">
      <c r="A51" s="74" t="s">
        <v>34</v>
      </c>
      <c r="B51" s="74" t="s">
        <v>69</v>
      </c>
      <c r="C51" s="74" t="s">
        <v>227</v>
      </c>
      <c r="D51" s="75"/>
      <c r="E51" s="74" t="n">
        <v>30</v>
      </c>
      <c r="F51" s="74"/>
      <c r="G51" s="74"/>
      <c r="H51" s="74"/>
      <c r="I51" s="74"/>
    </row>
    <row r="52" customFormat="false" ht="15" hidden="true" customHeight="false" outlineLevel="0" collapsed="false">
      <c r="A52" s="74" t="s">
        <v>38</v>
      </c>
      <c r="B52" s="74" t="s">
        <v>69</v>
      </c>
      <c r="C52" s="74" t="s">
        <v>227</v>
      </c>
      <c r="D52" s="75"/>
      <c r="E52" s="74" t="n">
        <v>30</v>
      </c>
      <c r="F52" s="74"/>
      <c r="G52" s="74"/>
      <c r="H52" s="74"/>
      <c r="I52" s="74"/>
    </row>
    <row r="53" customFormat="false" ht="15" hidden="true" customHeight="false" outlineLevel="0" collapsed="false">
      <c r="A53" s="74" t="s">
        <v>24</v>
      </c>
      <c r="B53" s="74" t="s">
        <v>33</v>
      </c>
      <c r="C53" s="74" t="s">
        <v>228</v>
      </c>
      <c r="D53" s="75" t="n">
        <v>148.59</v>
      </c>
      <c r="E53" s="74"/>
      <c r="F53" s="74"/>
      <c r="G53" s="74"/>
      <c r="H53" s="74"/>
      <c r="I53" s="74"/>
    </row>
    <row r="54" customFormat="false" ht="15" hidden="true" customHeight="false" outlineLevel="0" collapsed="false">
      <c r="A54" s="74" t="s">
        <v>28</v>
      </c>
      <c r="B54" s="74" t="s">
        <v>33</v>
      </c>
      <c r="C54" s="74" t="s">
        <v>228</v>
      </c>
      <c r="D54" s="75" t="n">
        <v>148.59</v>
      </c>
      <c r="E54" s="74"/>
      <c r="F54" s="74"/>
      <c r="G54" s="74"/>
      <c r="H54" s="74"/>
      <c r="I54" s="74"/>
    </row>
    <row r="55" customFormat="false" ht="15" hidden="false" customHeight="false" outlineLevel="0" collapsed="false">
      <c r="A55" s="74" t="s">
        <v>31</v>
      </c>
      <c r="B55" s="74" t="s">
        <v>33</v>
      </c>
      <c r="C55" s="74" t="s">
        <v>228</v>
      </c>
      <c r="D55" s="75" t="n">
        <v>148.59</v>
      </c>
      <c r="E55" s="74"/>
      <c r="F55" s="74"/>
      <c r="G55" s="74"/>
      <c r="H55" s="74"/>
      <c r="I55" s="74"/>
    </row>
    <row r="56" customFormat="false" ht="15" hidden="true" customHeight="false" outlineLevel="0" collapsed="false">
      <c r="A56" s="74" t="s">
        <v>34</v>
      </c>
      <c r="B56" s="74" t="s">
        <v>33</v>
      </c>
      <c r="C56" s="74" t="s">
        <v>228</v>
      </c>
      <c r="D56" s="75" t="n">
        <v>148.59</v>
      </c>
      <c r="E56" s="74"/>
      <c r="F56" s="74"/>
      <c r="G56" s="74"/>
      <c r="H56" s="74"/>
      <c r="I56" s="74"/>
    </row>
    <row r="57" customFormat="false" ht="15" hidden="true" customHeight="false" outlineLevel="0" collapsed="false">
      <c r="A57" s="74" t="s">
        <v>38</v>
      </c>
      <c r="B57" s="74" t="s">
        <v>33</v>
      </c>
      <c r="C57" s="74" t="s">
        <v>228</v>
      </c>
      <c r="D57" s="75" t="n">
        <v>148.59</v>
      </c>
      <c r="E57" s="74"/>
      <c r="F57" s="74"/>
      <c r="G57" s="74"/>
      <c r="H57" s="74"/>
      <c r="I57" s="74"/>
    </row>
    <row r="58" customFormat="false" ht="15" hidden="true" customHeight="false" outlineLevel="0" collapsed="false">
      <c r="A58" s="74" t="s">
        <v>24</v>
      </c>
      <c r="B58" s="74" t="s">
        <v>33</v>
      </c>
      <c r="C58" s="74" t="s">
        <v>229</v>
      </c>
      <c r="D58" s="75" t="n">
        <v>100</v>
      </c>
      <c r="E58" s="74"/>
      <c r="F58" s="74"/>
      <c r="G58" s="74"/>
      <c r="H58" s="74"/>
      <c r="I58" s="74"/>
    </row>
    <row r="59" customFormat="false" ht="15" hidden="true" customHeight="false" outlineLevel="0" collapsed="false">
      <c r="A59" s="74" t="s">
        <v>28</v>
      </c>
      <c r="B59" s="74" t="s">
        <v>33</v>
      </c>
      <c r="C59" s="74" t="s">
        <v>229</v>
      </c>
      <c r="D59" s="75" t="n">
        <v>100</v>
      </c>
      <c r="E59" s="74"/>
      <c r="F59" s="74"/>
      <c r="G59" s="74"/>
      <c r="H59" s="74"/>
      <c r="I59" s="74"/>
    </row>
    <row r="60" customFormat="false" ht="15" hidden="false" customHeight="false" outlineLevel="0" collapsed="false">
      <c r="A60" s="74" t="s">
        <v>31</v>
      </c>
      <c r="B60" s="74" t="s">
        <v>33</v>
      </c>
      <c r="C60" s="74" t="s">
        <v>229</v>
      </c>
      <c r="D60" s="75" t="n">
        <v>100</v>
      </c>
      <c r="E60" s="74"/>
      <c r="F60" s="74"/>
      <c r="G60" s="74"/>
      <c r="H60" s="74"/>
      <c r="I60" s="74"/>
    </row>
    <row r="61" customFormat="false" ht="15" hidden="true" customHeight="false" outlineLevel="0" collapsed="false">
      <c r="A61" s="74" t="s">
        <v>34</v>
      </c>
      <c r="B61" s="74" t="s">
        <v>33</v>
      </c>
      <c r="C61" s="74" t="s">
        <v>229</v>
      </c>
      <c r="D61" s="75" t="n">
        <v>100</v>
      </c>
      <c r="E61" s="74"/>
      <c r="F61" s="74"/>
      <c r="G61" s="74"/>
      <c r="H61" s="74"/>
      <c r="I61" s="74"/>
    </row>
    <row r="62" customFormat="false" ht="15" hidden="true" customHeight="false" outlineLevel="0" collapsed="false">
      <c r="A62" s="74" t="s">
        <v>38</v>
      </c>
      <c r="B62" s="74" t="s">
        <v>33</v>
      </c>
      <c r="C62" s="74" t="s">
        <v>229</v>
      </c>
      <c r="D62" s="75" t="n">
        <v>100</v>
      </c>
      <c r="E62" s="74"/>
      <c r="F62" s="74"/>
      <c r="G62" s="74"/>
      <c r="H62" s="74"/>
      <c r="I62" s="74"/>
    </row>
    <row r="63" customFormat="false" ht="15" hidden="true" customHeight="false" outlineLevel="0" collapsed="false">
      <c r="A63" s="74" t="s">
        <v>24</v>
      </c>
      <c r="B63" s="74" t="s">
        <v>33</v>
      </c>
      <c r="C63" s="74" t="s">
        <v>230</v>
      </c>
      <c r="D63" s="75" t="n">
        <v>14.99</v>
      </c>
      <c r="E63" s="74"/>
      <c r="F63" s="74"/>
      <c r="G63" s="74"/>
      <c r="H63" s="74"/>
      <c r="I63" s="74"/>
    </row>
    <row r="64" customFormat="false" ht="15" hidden="true" customHeight="false" outlineLevel="0" collapsed="false">
      <c r="A64" s="74" t="s">
        <v>28</v>
      </c>
      <c r="B64" s="74" t="s">
        <v>33</v>
      </c>
      <c r="C64" s="74" t="s">
        <v>230</v>
      </c>
      <c r="D64" s="75" t="n">
        <v>14.99</v>
      </c>
      <c r="E64" s="74"/>
      <c r="F64" s="74"/>
      <c r="G64" s="74"/>
      <c r="H64" s="74"/>
      <c r="I64" s="74"/>
    </row>
    <row r="65" customFormat="false" ht="15" hidden="false" customHeight="false" outlineLevel="0" collapsed="false">
      <c r="A65" s="74" t="s">
        <v>31</v>
      </c>
      <c r="B65" s="74" t="s">
        <v>33</v>
      </c>
      <c r="C65" s="74" t="s">
        <v>230</v>
      </c>
      <c r="D65" s="75" t="n">
        <v>14.99</v>
      </c>
      <c r="E65" s="74"/>
      <c r="F65" s="74"/>
      <c r="G65" s="74"/>
      <c r="H65" s="74"/>
      <c r="I65" s="74"/>
    </row>
    <row r="66" customFormat="false" ht="15" hidden="true" customHeight="false" outlineLevel="0" collapsed="false">
      <c r="A66" s="74" t="s">
        <v>34</v>
      </c>
      <c r="B66" s="74" t="s">
        <v>33</v>
      </c>
      <c r="C66" s="74" t="s">
        <v>230</v>
      </c>
      <c r="D66" s="75" t="n">
        <v>14.99</v>
      </c>
      <c r="E66" s="74"/>
      <c r="F66" s="74"/>
      <c r="G66" s="74"/>
      <c r="H66" s="74"/>
      <c r="I66" s="74"/>
    </row>
    <row r="67" customFormat="false" ht="15" hidden="true" customHeight="false" outlineLevel="0" collapsed="false">
      <c r="A67" s="74" t="s">
        <v>38</v>
      </c>
      <c r="B67" s="74" t="s">
        <v>33</v>
      </c>
      <c r="C67" s="74" t="s">
        <v>230</v>
      </c>
      <c r="D67" s="75" t="n">
        <v>14.99</v>
      </c>
      <c r="E67" s="74"/>
      <c r="F67" s="74"/>
      <c r="G67" s="74"/>
      <c r="H67" s="74"/>
      <c r="I67" s="74"/>
    </row>
    <row r="68" customFormat="false" ht="15" hidden="true" customHeight="false" outlineLevel="0" collapsed="false">
      <c r="A68" s="74" t="s">
        <v>24</v>
      </c>
      <c r="B68" s="74" t="s">
        <v>33</v>
      </c>
      <c r="C68" s="74" t="s">
        <v>231</v>
      </c>
      <c r="D68" s="75" t="n">
        <v>214.82</v>
      </c>
      <c r="E68" s="74"/>
      <c r="F68" s="74"/>
      <c r="G68" s="74"/>
      <c r="H68" s="74"/>
      <c r="I68" s="74"/>
    </row>
    <row r="69" customFormat="false" ht="15" hidden="true" customHeight="false" outlineLevel="0" collapsed="false">
      <c r="A69" s="74" t="s">
        <v>28</v>
      </c>
      <c r="B69" s="74" t="s">
        <v>33</v>
      </c>
      <c r="C69" s="74" t="s">
        <v>231</v>
      </c>
      <c r="D69" s="75" t="n">
        <v>214.82</v>
      </c>
      <c r="E69" s="74"/>
      <c r="F69" s="74"/>
      <c r="G69" s="74"/>
      <c r="H69" s="74"/>
      <c r="I69" s="74"/>
    </row>
    <row r="70" customFormat="false" ht="15" hidden="false" customHeight="false" outlineLevel="0" collapsed="false">
      <c r="A70" s="74" t="s">
        <v>31</v>
      </c>
      <c r="B70" s="74" t="s">
        <v>33</v>
      </c>
      <c r="C70" s="74" t="s">
        <v>231</v>
      </c>
      <c r="D70" s="75" t="n">
        <v>214.82</v>
      </c>
      <c r="E70" s="74"/>
      <c r="F70" s="74"/>
      <c r="G70" s="74"/>
      <c r="H70" s="74"/>
      <c r="I70" s="74"/>
    </row>
    <row r="71" customFormat="false" ht="15" hidden="true" customHeight="false" outlineLevel="0" collapsed="false">
      <c r="A71" s="74" t="s">
        <v>34</v>
      </c>
      <c r="B71" s="74" t="s">
        <v>33</v>
      </c>
      <c r="C71" s="74" t="s">
        <v>231</v>
      </c>
      <c r="D71" s="75" t="n">
        <v>214.82</v>
      </c>
      <c r="E71" s="74"/>
      <c r="F71" s="74"/>
      <c r="G71" s="74"/>
      <c r="H71" s="74"/>
      <c r="I71" s="74"/>
    </row>
    <row r="72" customFormat="false" ht="15" hidden="true" customHeight="false" outlineLevel="0" collapsed="false">
      <c r="A72" s="74" t="s">
        <v>38</v>
      </c>
      <c r="B72" s="74" t="s">
        <v>33</v>
      </c>
      <c r="C72" s="74" t="s">
        <v>231</v>
      </c>
      <c r="D72" s="75" t="n">
        <v>214.82</v>
      </c>
      <c r="E72" s="74"/>
      <c r="F72" s="74"/>
      <c r="G72" s="74"/>
      <c r="H72" s="74"/>
      <c r="I72" s="74"/>
    </row>
    <row r="73" customFormat="false" ht="15" hidden="true" customHeight="false" outlineLevel="0" collapsed="false">
      <c r="A73" s="74" t="s">
        <v>24</v>
      </c>
      <c r="B73" s="74" t="s">
        <v>33</v>
      </c>
      <c r="C73" s="74" t="s">
        <v>232</v>
      </c>
      <c r="D73" s="75" t="n">
        <v>275</v>
      </c>
      <c r="E73" s="74"/>
      <c r="F73" s="74"/>
      <c r="G73" s="74"/>
      <c r="H73" s="74"/>
      <c r="I73" s="74"/>
    </row>
    <row r="74" customFormat="false" ht="15" hidden="true" customHeight="false" outlineLevel="0" collapsed="false">
      <c r="A74" s="74" t="s">
        <v>28</v>
      </c>
      <c r="B74" s="74" t="s">
        <v>33</v>
      </c>
      <c r="C74" s="74" t="s">
        <v>232</v>
      </c>
      <c r="D74" s="75" t="n">
        <v>275</v>
      </c>
      <c r="E74" s="74"/>
      <c r="F74" s="74"/>
      <c r="G74" s="74"/>
      <c r="H74" s="74"/>
      <c r="I74" s="74"/>
    </row>
    <row r="75" customFormat="false" ht="15" hidden="false" customHeight="false" outlineLevel="0" collapsed="false">
      <c r="A75" s="74" t="s">
        <v>31</v>
      </c>
      <c r="B75" s="74" t="s">
        <v>33</v>
      </c>
      <c r="C75" s="74" t="s">
        <v>232</v>
      </c>
      <c r="D75" s="75" t="n">
        <v>275</v>
      </c>
      <c r="E75" s="74"/>
      <c r="F75" s="74"/>
      <c r="G75" s="74"/>
      <c r="H75" s="74"/>
      <c r="I75" s="74"/>
    </row>
    <row r="76" customFormat="false" ht="15" hidden="true" customHeight="false" outlineLevel="0" collapsed="false">
      <c r="A76" s="74" t="s">
        <v>34</v>
      </c>
      <c r="B76" s="74" t="s">
        <v>33</v>
      </c>
      <c r="C76" s="74" t="s">
        <v>232</v>
      </c>
      <c r="D76" s="75" t="n">
        <v>275</v>
      </c>
      <c r="E76" s="74"/>
      <c r="F76" s="74"/>
      <c r="G76" s="74"/>
      <c r="H76" s="74"/>
      <c r="I76" s="74"/>
    </row>
    <row r="77" customFormat="false" ht="15" hidden="true" customHeight="false" outlineLevel="0" collapsed="false">
      <c r="A77" s="74" t="s">
        <v>38</v>
      </c>
      <c r="B77" s="74" t="s">
        <v>33</v>
      </c>
      <c r="C77" s="74" t="s">
        <v>232</v>
      </c>
      <c r="D77" s="75" t="n">
        <v>275</v>
      </c>
      <c r="E77" s="74"/>
      <c r="F77" s="74"/>
      <c r="G77" s="74"/>
      <c r="H77" s="74"/>
      <c r="I77" s="74"/>
    </row>
    <row r="78" customFormat="false" ht="15" hidden="true" customHeight="false" outlineLevel="0" collapsed="false">
      <c r="A78" s="74" t="s">
        <v>24</v>
      </c>
      <c r="B78" s="74" t="s">
        <v>33</v>
      </c>
      <c r="C78" s="74" t="s">
        <v>233</v>
      </c>
      <c r="D78" s="75" t="n">
        <v>73.8</v>
      </c>
      <c r="E78" s="74"/>
      <c r="F78" s="74"/>
      <c r="G78" s="74"/>
      <c r="H78" s="74"/>
      <c r="I78" s="74"/>
    </row>
    <row r="79" customFormat="false" ht="15" hidden="true" customHeight="false" outlineLevel="0" collapsed="false">
      <c r="A79" s="74" t="s">
        <v>28</v>
      </c>
      <c r="B79" s="74" t="s">
        <v>33</v>
      </c>
      <c r="C79" s="74" t="s">
        <v>233</v>
      </c>
      <c r="D79" s="75" t="n">
        <v>73.8</v>
      </c>
      <c r="E79" s="74"/>
      <c r="F79" s="74"/>
      <c r="G79" s="74"/>
      <c r="H79" s="74"/>
      <c r="I79" s="74"/>
    </row>
    <row r="80" customFormat="false" ht="15" hidden="false" customHeight="false" outlineLevel="0" collapsed="false">
      <c r="A80" s="74" t="s">
        <v>31</v>
      </c>
      <c r="B80" s="74" t="s">
        <v>33</v>
      </c>
      <c r="C80" s="74" t="s">
        <v>233</v>
      </c>
      <c r="D80" s="75" t="n">
        <v>73.8</v>
      </c>
      <c r="E80" s="74"/>
      <c r="F80" s="74"/>
      <c r="G80" s="74"/>
      <c r="H80" s="74"/>
      <c r="I80" s="74"/>
    </row>
    <row r="81" customFormat="false" ht="15" hidden="true" customHeight="false" outlineLevel="0" collapsed="false">
      <c r="A81" s="74" t="s">
        <v>34</v>
      </c>
      <c r="B81" s="74" t="s">
        <v>33</v>
      </c>
      <c r="C81" s="74" t="s">
        <v>233</v>
      </c>
      <c r="D81" s="75" t="n">
        <v>73.8</v>
      </c>
      <c r="E81" s="74"/>
      <c r="F81" s="74"/>
      <c r="G81" s="74"/>
      <c r="H81" s="74"/>
      <c r="I81" s="74"/>
    </row>
    <row r="82" customFormat="false" ht="15" hidden="true" customHeight="false" outlineLevel="0" collapsed="false">
      <c r="A82" s="74" t="s">
        <v>38</v>
      </c>
      <c r="B82" s="74" t="s">
        <v>33</v>
      </c>
      <c r="C82" s="74" t="s">
        <v>233</v>
      </c>
      <c r="D82" s="75" t="n">
        <v>73.8</v>
      </c>
      <c r="E82" s="74"/>
      <c r="F82" s="74"/>
      <c r="G82" s="74"/>
      <c r="H82" s="74"/>
      <c r="I82" s="74"/>
    </row>
    <row r="83" customFormat="false" ht="15" hidden="true" customHeight="false" outlineLevel="0" collapsed="false">
      <c r="A83" s="74" t="s">
        <v>24</v>
      </c>
      <c r="B83" s="74" t="s">
        <v>33</v>
      </c>
      <c r="C83" s="74" t="s">
        <v>234</v>
      </c>
      <c r="D83" s="75" t="n">
        <v>59</v>
      </c>
      <c r="E83" s="74"/>
      <c r="F83" s="74"/>
      <c r="G83" s="74"/>
      <c r="H83" s="74"/>
      <c r="I83" s="74"/>
    </row>
    <row r="84" customFormat="false" ht="15" hidden="true" customHeight="false" outlineLevel="0" collapsed="false">
      <c r="A84" s="74" t="s">
        <v>28</v>
      </c>
      <c r="B84" s="74" t="s">
        <v>33</v>
      </c>
      <c r="C84" s="74" t="s">
        <v>234</v>
      </c>
      <c r="D84" s="75" t="n">
        <v>59</v>
      </c>
      <c r="E84" s="74"/>
      <c r="F84" s="74"/>
      <c r="G84" s="74"/>
      <c r="H84" s="74"/>
      <c r="I84" s="74"/>
    </row>
    <row r="85" customFormat="false" ht="15" hidden="false" customHeight="false" outlineLevel="0" collapsed="false">
      <c r="A85" s="74" t="s">
        <v>31</v>
      </c>
      <c r="B85" s="74" t="s">
        <v>33</v>
      </c>
      <c r="C85" s="74" t="s">
        <v>234</v>
      </c>
      <c r="D85" s="75" t="n">
        <v>59</v>
      </c>
      <c r="E85" s="74"/>
      <c r="F85" s="74"/>
      <c r="G85" s="74"/>
      <c r="H85" s="74"/>
      <c r="I85" s="74"/>
    </row>
    <row r="86" customFormat="false" ht="15" hidden="true" customHeight="false" outlineLevel="0" collapsed="false">
      <c r="A86" s="74" t="s">
        <v>34</v>
      </c>
      <c r="B86" s="74" t="s">
        <v>33</v>
      </c>
      <c r="C86" s="74" t="s">
        <v>234</v>
      </c>
      <c r="D86" s="75" t="n">
        <v>59</v>
      </c>
      <c r="E86" s="74"/>
      <c r="F86" s="74"/>
      <c r="G86" s="74"/>
      <c r="H86" s="74"/>
      <c r="I86" s="74"/>
    </row>
    <row r="87" customFormat="false" ht="15" hidden="true" customHeight="false" outlineLevel="0" collapsed="false">
      <c r="A87" s="74" t="s">
        <v>38</v>
      </c>
      <c r="B87" s="74" t="s">
        <v>33</v>
      </c>
      <c r="C87" s="74" t="s">
        <v>234</v>
      </c>
      <c r="D87" s="75" t="n">
        <v>59</v>
      </c>
      <c r="E87" s="74"/>
      <c r="F87" s="74"/>
      <c r="G87" s="74"/>
      <c r="H87" s="74"/>
      <c r="I87" s="74"/>
    </row>
    <row r="88" customFormat="false" ht="15" hidden="true" customHeight="false" outlineLevel="0" collapsed="false">
      <c r="A88" s="74" t="s">
        <v>24</v>
      </c>
      <c r="B88" s="74" t="s">
        <v>33</v>
      </c>
      <c r="C88" s="74" t="s">
        <v>235</v>
      </c>
      <c r="D88" s="75" t="n">
        <v>142.24</v>
      </c>
      <c r="E88" s="74"/>
      <c r="F88" s="74"/>
      <c r="G88" s="74"/>
      <c r="H88" s="74"/>
      <c r="I88" s="74"/>
    </row>
    <row r="89" customFormat="false" ht="15" hidden="true" customHeight="false" outlineLevel="0" collapsed="false">
      <c r="A89" s="74" t="s">
        <v>28</v>
      </c>
      <c r="B89" s="74" t="s">
        <v>33</v>
      </c>
      <c r="C89" s="74" t="s">
        <v>235</v>
      </c>
      <c r="D89" s="75" t="n">
        <v>142.24</v>
      </c>
      <c r="E89" s="74"/>
      <c r="F89" s="74"/>
      <c r="G89" s="74"/>
      <c r="H89" s="74"/>
      <c r="I89" s="74"/>
    </row>
    <row r="90" customFormat="false" ht="15" hidden="false" customHeight="false" outlineLevel="0" collapsed="false">
      <c r="A90" s="74" t="s">
        <v>31</v>
      </c>
      <c r="B90" s="74" t="s">
        <v>33</v>
      </c>
      <c r="C90" s="74" t="s">
        <v>235</v>
      </c>
      <c r="D90" s="75" t="n">
        <v>142.24</v>
      </c>
      <c r="E90" s="74"/>
      <c r="F90" s="74"/>
      <c r="G90" s="74"/>
      <c r="H90" s="74"/>
      <c r="I90" s="74"/>
    </row>
    <row r="91" customFormat="false" ht="15" hidden="true" customHeight="false" outlineLevel="0" collapsed="false">
      <c r="A91" s="74" t="s">
        <v>34</v>
      </c>
      <c r="B91" s="74" t="s">
        <v>33</v>
      </c>
      <c r="C91" s="74" t="s">
        <v>235</v>
      </c>
      <c r="D91" s="75" t="n">
        <v>142.24</v>
      </c>
      <c r="E91" s="74"/>
      <c r="F91" s="74"/>
      <c r="G91" s="74"/>
      <c r="H91" s="74"/>
      <c r="I91" s="74"/>
    </row>
    <row r="92" customFormat="false" ht="15" hidden="true" customHeight="false" outlineLevel="0" collapsed="false">
      <c r="A92" s="74" t="s">
        <v>38</v>
      </c>
      <c r="B92" s="74" t="s">
        <v>33</v>
      </c>
      <c r="C92" s="74" t="s">
        <v>235</v>
      </c>
      <c r="D92" s="75" t="n">
        <v>142.24</v>
      </c>
      <c r="E92" s="74"/>
      <c r="F92" s="74"/>
      <c r="G92" s="74"/>
      <c r="H92" s="74"/>
      <c r="I92" s="74"/>
    </row>
    <row r="93" customFormat="false" ht="15" hidden="true" customHeight="false" outlineLevel="0" collapsed="false">
      <c r="A93" s="74" t="s">
        <v>24</v>
      </c>
      <c r="B93" s="74" t="s">
        <v>33</v>
      </c>
      <c r="C93" s="74" t="s">
        <v>236</v>
      </c>
      <c r="D93" s="75" t="n">
        <v>1000</v>
      </c>
      <c r="E93" s="74"/>
      <c r="F93" s="74"/>
      <c r="G93" s="74"/>
      <c r="H93" s="74"/>
      <c r="I93" s="74"/>
    </row>
    <row r="94" customFormat="false" ht="15" hidden="true" customHeight="false" outlineLevel="0" collapsed="false">
      <c r="A94" s="74" t="s">
        <v>28</v>
      </c>
      <c r="B94" s="74" t="s">
        <v>33</v>
      </c>
      <c r="C94" s="74" t="s">
        <v>236</v>
      </c>
      <c r="D94" s="75" t="n">
        <v>1000</v>
      </c>
      <c r="E94" s="74"/>
      <c r="F94" s="74"/>
      <c r="G94" s="74"/>
      <c r="H94" s="74"/>
      <c r="I94" s="74"/>
    </row>
    <row r="95" customFormat="false" ht="15" hidden="false" customHeight="false" outlineLevel="0" collapsed="false">
      <c r="A95" s="74" t="s">
        <v>31</v>
      </c>
      <c r="B95" s="74" t="s">
        <v>33</v>
      </c>
      <c r="C95" s="74" t="s">
        <v>236</v>
      </c>
      <c r="D95" s="75" t="n">
        <v>1000</v>
      </c>
      <c r="E95" s="74"/>
      <c r="F95" s="74"/>
      <c r="G95" s="74"/>
      <c r="H95" s="74"/>
      <c r="I95" s="74"/>
    </row>
    <row r="96" customFormat="false" ht="15" hidden="true" customHeight="false" outlineLevel="0" collapsed="false">
      <c r="A96" s="74" t="s">
        <v>34</v>
      </c>
      <c r="B96" s="74" t="s">
        <v>33</v>
      </c>
      <c r="C96" s="74" t="s">
        <v>236</v>
      </c>
      <c r="D96" s="75" t="n">
        <v>1000</v>
      </c>
      <c r="E96" s="74"/>
      <c r="F96" s="74"/>
      <c r="G96" s="74"/>
      <c r="H96" s="74"/>
      <c r="I96" s="74"/>
    </row>
    <row r="97" customFormat="false" ht="15" hidden="true" customHeight="false" outlineLevel="0" collapsed="false">
      <c r="A97" s="74" t="s">
        <v>38</v>
      </c>
      <c r="B97" s="74" t="s">
        <v>33</v>
      </c>
      <c r="C97" s="74" t="s">
        <v>236</v>
      </c>
      <c r="D97" s="75" t="n">
        <v>1000</v>
      </c>
      <c r="E97" s="74"/>
      <c r="F97" s="74"/>
      <c r="G97" s="74"/>
      <c r="H97" s="74"/>
      <c r="I97" s="74"/>
    </row>
    <row r="98" customFormat="false" ht="15" hidden="true" customHeight="false" outlineLevel="0" collapsed="false">
      <c r="A98" s="74" t="s">
        <v>24</v>
      </c>
      <c r="B98" s="74" t="s">
        <v>33</v>
      </c>
      <c r="C98" s="74" t="s">
        <v>237</v>
      </c>
      <c r="D98" s="75" t="n">
        <v>44.99</v>
      </c>
      <c r="E98" s="74"/>
      <c r="F98" s="74"/>
      <c r="G98" s="74"/>
      <c r="H98" s="74"/>
      <c r="I98" s="74"/>
    </row>
    <row r="99" customFormat="false" ht="15" hidden="true" customHeight="false" outlineLevel="0" collapsed="false">
      <c r="A99" s="74" t="s">
        <v>28</v>
      </c>
      <c r="B99" s="74" t="s">
        <v>33</v>
      </c>
      <c r="C99" s="74" t="s">
        <v>237</v>
      </c>
      <c r="D99" s="75" t="n">
        <v>44.99</v>
      </c>
      <c r="E99" s="74"/>
      <c r="F99" s="74"/>
      <c r="G99" s="74"/>
      <c r="H99" s="74"/>
      <c r="I99" s="74"/>
    </row>
    <row r="100" customFormat="false" ht="15" hidden="false" customHeight="false" outlineLevel="0" collapsed="false">
      <c r="A100" s="74" t="s">
        <v>31</v>
      </c>
      <c r="B100" s="74" t="s">
        <v>33</v>
      </c>
      <c r="C100" s="74" t="s">
        <v>237</v>
      </c>
      <c r="D100" s="75" t="n">
        <v>44.99</v>
      </c>
      <c r="E100" s="74"/>
      <c r="F100" s="74"/>
      <c r="G100" s="74"/>
      <c r="H100" s="74"/>
      <c r="I100" s="74"/>
    </row>
    <row r="101" customFormat="false" ht="15" hidden="true" customHeight="false" outlineLevel="0" collapsed="false">
      <c r="A101" s="74" t="s">
        <v>34</v>
      </c>
      <c r="B101" s="74" t="s">
        <v>33</v>
      </c>
      <c r="C101" s="74" t="s">
        <v>237</v>
      </c>
      <c r="D101" s="75" t="n">
        <v>44.99</v>
      </c>
      <c r="E101" s="74"/>
      <c r="F101" s="74"/>
      <c r="G101" s="74"/>
      <c r="H101" s="74"/>
      <c r="I101" s="74"/>
    </row>
    <row r="102" customFormat="false" ht="15" hidden="true" customHeight="false" outlineLevel="0" collapsed="false">
      <c r="A102" s="74" t="s">
        <v>38</v>
      </c>
      <c r="B102" s="74" t="s">
        <v>33</v>
      </c>
      <c r="C102" s="74" t="s">
        <v>237</v>
      </c>
      <c r="D102" s="75" t="n">
        <v>44.99</v>
      </c>
      <c r="E102" s="74"/>
      <c r="F102" s="74"/>
      <c r="G102" s="74"/>
      <c r="H102" s="74"/>
      <c r="I102" s="74"/>
    </row>
    <row r="103" customFormat="false" ht="15" hidden="true" customHeight="false" outlineLevel="0" collapsed="false">
      <c r="A103" s="74" t="s">
        <v>24</v>
      </c>
      <c r="B103" s="74" t="s">
        <v>33</v>
      </c>
      <c r="C103" s="74" t="s">
        <v>238</v>
      </c>
      <c r="D103" s="75" t="n">
        <v>118.17</v>
      </c>
      <c r="E103" s="74"/>
      <c r="F103" s="74"/>
      <c r="G103" s="74"/>
      <c r="H103" s="74"/>
      <c r="I103" s="74"/>
    </row>
    <row r="104" customFormat="false" ht="15" hidden="true" customHeight="false" outlineLevel="0" collapsed="false">
      <c r="A104" s="74" t="s">
        <v>28</v>
      </c>
      <c r="B104" s="74" t="s">
        <v>33</v>
      </c>
      <c r="C104" s="74" t="s">
        <v>238</v>
      </c>
      <c r="D104" s="75" t="n">
        <v>118.17</v>
      </c>
      <c r="E104" s="74"/>
      <c r="F104" s="74"/>
      <c r="G104" s="74"/>
      <c r="H104" s="74"/>
      <c r="I104" s="74"/>
    </row>
    <row r="105" customFormat="false" ht="15" hidden="false" customHeight="false" outlineLevel="0" collapsed="false">
      <c r="A105" s="74" t="s">
        <v>31</v>
      </c>
      <c r="B105" s="74" t="s">
        <v>33</v>
      </c>
      <c r="C105" s="74" t="s">
        <v>238</v>
      </c>
      <c r="D105" s="75" t="n">
        <v>118.17</v>
      </c>
      <c r="E105" s="74"/>
      <c r="F105" s="74"/>
      <c r="G105" s="74"/>
      <c r="H105" s="74"/>
      <c r="I105" s="74"/>
    </row>
    <row r="106" customFormat="false" ht="15" hidden="true" customHeight="false" outlineLevel="0" collapsed="false">
      <c r="A106" s="74" t="s">
        <v>34</v>
      </c>
      <c r="B106" s="74" t="s">
        <v>33</v>
      </c>
      <c r="C106" s="74" t="s">
        <v>238</v>
      </c>
      <c r="D106" s="75" t="n">
        <v>118.17</v>
      </c>
      <c r="E106" s="74"/>
      <c r="F106" s="74"/>
      <c r="G106" s="74"/>
      <c r="H106" s="74"/>
      <c r="I106" s="74"/>
    </row>
    <row r="107" customFormat="false" ht="15" hidden="true" customHeight="false" outlineLevel="0" collapsed="false">
      <c r="A107" s="74" t="s">
        <v>38</v>
      </c>
      <c r="B107" s="74" t="s">
        <v>33</v>
      </c>
      <c r="C107" s="74" t="s">
        <v>238</v>
      </c>
      <c r="D107" s="75" t="n">
        <v>118.17</v>
      </c>
      <c r="E107" s="74"/>
      <c r="F107" s="74"/>
      <c r="G107" s="74"/>
      <c r="H107" s="74"/>
      <c r="I107" s="74"/>
    </row>
    <row r="108" customFormat="false" ht="15" hidden="true" customHeight="false" outlineLevel="0" collapsed="false">
      <c r="A108" s="74" t="s">
        <v>24</v>
      </c>
      <c r="B108" s="74" t="s">
        <v>33</v>
      </c>
      <c r="C108" s="74" t="s">
        <v>239</v>
      </c>
      <c r="D108" s="75" t="n">
        <v>896.87</v>
      </c>
      <c r="E108" s="74"/>
      <c r="F108" s="74" t="s">
        <v>204</v>
      </c>
      <c r="G108" s="74" t="s">
        <v>175</v>
      </c>
      <c r="H108" s="74"/>
      <c r="I108" s="74"/>
    </row>
    <row r="109" customFormat="false" ht="15" hidden="true" customHeight="false" outlineLevel="0" collapsed="false">
      <c r="A109" s="74" t="s">
        <v>28</v>
      </c>
      <c r="B109" s="74" t="s">
        <v>33</v>
      </c>
      <c r="C109" s="74" t="s">
        <v>239</v>
      </c>
      <c r="D109" s="75" t="n">
        <v>1162.89</v>
      </c>
      <c r="E109" s="74" t="n">
        <v>9</v>
      </c>
      <c r="F109" s="74"/>
      <c r="G109" s="74" t="s">
        <v>175</v>
      </c>
      <c r="H109" s="74"/>
      <c r="I109" s="74"/>
    </row>
    <row r="110" customFormat="false" ht="15" hidden="false" customHeight="false" outlineLevel="0" collapsed="false">
      <c r="A110" s="74" t="s">
        <v>31</v>
      </c>
      <c r="B110" s="74" t="s">
        <v>33</v>
      </c>
      <c r="C110" s="74" t="s">
        <v>239</v>
      </c>
      <c r="D110" s="75" t="n">
        <v>1592.99</v>
      </c>
      <c r="E110" s="74"/>
      <c r="F110" s="74"/>
      <c r="G110" s="74"/>
      <c r="H110" s="74"/>
      <c r="I110" s="74"/>
    </row>
    <row r="111" customFormat="false" ht="15" hidden="true" customHeight="false" outlineLevel="0" collapsed="false">
      <c r="A111" s="74" t="s">
        <v>34</v>
      </c>
      <c r="B111" s="74" t="s">
        <v>33</v>
      </c>
      <c r="C111" s="74" t="s">
        <v>239</v>
      </c>
      <c r="D111" s="75" t="n">
        <v>1592.99</v>
      </c>
      <c r="E111" s="74"/>
      <c r="F111" s="74"/>
      <c r="G111" s="74"/>
      <c r="H111" s="74"/>
      <c r="I111" s="74"/>
    </row>
    <row r="112" customFormat="false" ht="15" hidden="true" customHeight="false" outlineLevel="0" collapsed="false">
      <c r="A112" s="74" t="s">
        <v>38</v>
      </c>
      <c r="B112" s="74" t="s">
        <v>33</v>
      </c>
      <c r="C112" s="74" t="s">
        <v>239</v>
      </c>
      <c r="D112" s="75" t="n">
        <v>1592.99</v>
      </c>
      <c r="E112" s="74"/>
      <c r="F112" s="74"/>
      <c r="G112" s="74"/>
      <c r="H112" s="74"/>
      <c r="I112" s="74"/>
    </row>
    <row r="113" customFormat="false" ht="15" hidden="true" customHeight="false" outlineLevel="0" collapsed="false">
      <c r="A113" s="74" t="s">
        <v>24</v>
      </c>
      <c r="B113" s="74" t="s">
        <v>37</v>
      </c>
      <c r="C113" s="74" t="s">
        <v>240</v>
      </c>
      <c r="D113" s="75" t="n">
        <v>1000</v>
      </c>
      <c r="E113" s="74"/>
      <c r="F113" s="74"/>
      <c r="G113" s="74" t="s">
        <v>175</v>
      </c>
      <c r="H113" s="74"/>
      <c r="I113" s="74"/>
    </row>
    <row r="114" customFormat="false" ht="15" hidden="true" customHeight="false" outlineLevel="0" collapsed="false">
      <c r="A114" s="74" t="s">
        <v>28</v>
      </c>
      <c r="B114" s="74" t="s">
        <v>37</v>
      </c>
      <c r="C114" s="74" t="s">
        <v>240</v>
      </c>
      <c r="D114" s="75" t="n">
        <v>1000</v>
      </c>
      <c r="E114" s="74"/>
      <c r="F114" s="74"/>
      <c r="G114" s="74"/>
      <c r="H114" s="74"/>
      <c r="I114" s="74"/>
    </row>
    <row r="115" customFormat="false" ht="15" hidden="false" customHeight="false" outlineLevel="0" collapsed="false">
      <c r="A115" s="74" t="s">
        <v>31</v>
      </c>
      <c r="B115" s="74" t="s">
        <v>37</v>
      </c>
      <c r="C115" s="74" t="s">
        <v>240</v>
      </c>
      <c r="D115" s="75" t="n">
        <v>1000</v>
      </c>
      <c r="E115" s="74"/>
      <c r="F115" s="74"/>
      <c r="G115" s="74"/>
      <c r="H115" s="74"/>
      <c r="I115" s="74"/>
    </row>
    <row r="116" customFormat="false" ht="15" hidden="true" customHeight="false" outlineLevel="0" collapsed="false">
      <c r="A116" s="74" t="s">
        <v>34</v>
      </c>
      <c r="B116" s="74" t="s">
        <v>37</v>
      </c>
      <c r="C116" s="74" t="s">
        <v>240</v>
      </c>
      <c r="D116" s="75" t="n">
        <v>1000</v>
      </c>
      <c r="E116" s="74"/>
      <c r="F116" s="74"/>
      <c r="G116" s="74"/>
      <c r="H116" s="74"/>
      <c r="I116" s="74"/>
    </row>
    <row r="117" customFormat="false" ht="15" hidden="true" customHeight="false" outlineLevel="0" collapsed="false">
      <c r="A117" s="74" t="s">
        <v>38</v>
      </c>
      <c r="B117" s="74" t="s">
        <v>37</v>
      </c>
      <c r="C117" s="74" t="s">
        <v>240</v>
      </c>
      <c r="D117" s="75" t="n">
        <v>1000</v>
      </c>
      <c r="E117" s="74"/>
      <c r="F117" s="74"/>
      <c r="G117" s="74"/>
      <c r="H117" s="74"/>
      <c r="I117" s="74"/>
    </row>
    <row r="118" customFormat="false" ht="15" hidden="true" customHeight="false" outlineLevel="0" collapsed="false">
      <c r="A118" s="74" t="s">
        <v>24</v>
      </c>
      <c r="B118" s="74" t="s">
        <v>37</v>
      </c>
      <c r="C118" s="74" t="s">
        <v>241</v>
      </c>
      <c r="D118" s="75" t="n">
        <v>2500</v>
      </c>
      <c r="E118" s="74"/>
      <c r="F118" s="74"/>
      <c r="G118" s="74"/>
      <c r="H118" s="74"/>
      <c r="I118" s="74"/>
    </row>
    <row r="119" customFormat="false" ht="15" hidden="true" customHeight="false" outlineLevel="0" collapsed="false">
      <c r="A119" s="74" t="s">
        <v>28</v>
      </c>
      <c r="B119" s="74" t="s">
        <v>37</v>
      </c>
      <c r="C119" s="74" t="s">
        <v>241</v>
      </c>
      <c r="D119" s="75" t="n">
        <v>2500</v>
      </c>
      <c r="E119" s="74"/>
      <c r="F119" s="74"/>
      <c r="G119" s="74"/>
      <c r="H119" s="74"/>
      <c r="I119" s="74"/>
    </row>
    <row r="120" customFormat="false" ht="15" hidden="false" customHeight="false" outlineLevel="0" collapsed="false">
      <c r="A120" s="74" t="s">
        <v>31</v>
      </c>
      <c r="B120" s="74" t="s">
        <v>37</v>
      </c>
      <c r="C120" s="74" t="s">
        <v>241</v>
      </c>
      <c r="D120" s="75" t="n">
        <v>2500</v>
      </c>
      <c r="E120" s="74"/>
      <c r="F120" s="74"/>
      <c r="G120" s="74"/>
      <c r="H120" s="74"/>
      <c r="I120" s="74"/>
    </row>
    <row r="121" customFormat="false" ht="15" hidden="true" customHeight="false" outlineLevel="0" collapsed="false">
      <c r="A121" s="74" t="s">
        <v>34</v>
      </c>
      <c r="B121" s="74" t="s">
        <v>37</v>
      </c>
      <c r="C121" s="74" t="s">
        <v>241</v>
      </c>
      <c r="D121" s="75" t="n">
        <v>2500</v>
      </c>
      <c r="E121" s="74"/>
      <c r="F121" s="74"/>
      <c r="G121" s="74"/>
      <c r="H121" s="74"/>
      <c r="I121" s="74"/>
    </row>
    <row r="122" customFormat="false" ht="15" hidden="true" customHeight="false" outlineLevel="0" collapsed="false">
      <c r="A122" s="74" t="s">
        <v>38</v>
      </c>
      <c r="B122" s="74" t="s">
        <v>37</v>
      </c>
      <c r="C122" s="74" t="s">
        <v>241</v>
      </c>
      <c r="D122" s="75" t="n">
        <v>2500</v>
      </c>
      <c r="E122" s="74"/>
      <c r="F122" s="74"/>
      <c r="G122" s="74"/>
      <c r="H122" s="74"/>
      <c r="I122" s="74"/>
    </row>
    <row r="123" customFormat="false" ht="15" hidden="true" customHeight="false" outlineLevel="0" collapsed="false">
      <c r="A123" s="74" t="s">
        <v>24</v>
      </c>
      <c r="B123" s="74" t="s">
        <v>40</v>
      </c>
      <c r="C123" s="74" t="s">
        <v>242</v>
      </c>
      <c r="D123" s="75" t="n">
        <v>220.75</v>
      </c>
      <c r="E123" s="74" t="n">
        <v>25</v>
      </c>
      <c r="F123" s="74"/>
      <c r="G123" s="74"/>
      <c r="H123" s="74" t="s">
        <v>243</v>
      </c>
      <c r="I123" s="74"/>
    </row>
    <row r="124" customFormat="false" ht="15" hidden="true" customHeight="false" outlineLevel="0" collapsed="false">
      <c r="A124" s="74" t="s">
        <v>28</v>
      </c>
      <c r="B124" s="74" t="s">
        <v>40</v>
      </c>
      <c r="C124" s="74" t="s">
        <v>242</v>
      </c>
      <c r="D124" s="75" t="n">
        <v>220.75</v>
      </c>
      <c r="E124" s="74" t="n">
        <v>25</v>
      </c>
      <c r="F124" s="74" t="s">
        <v>187</v>
      </c>
      <c r="G124" s="74"/>
      <c r="H124" s="74" t="s">
        <v>244</v>
      </c>
      <c r="I124" s="74"/>
    </row>
    <row r="125" customFormat="false" ht="15" hidden="true" customHeight="false" outlineLevel="0" collapsed="false">
      <c r="A125" s="74" t="s">
        <v>24</v>
      </c>
      <c r="B125" s="74" t="s">
        <v>30</v>
      </c>
      <c r="C125" s="74" t="s">
        <v>245</v>
      </c>
      <c r="D125" s="75" t="n">
        <v>1639.98</v>
      </c>
      <c r="E125" s="74" t="n">
        <v>5</v>
      </c>
      <c r="F125" s="74" t="s">
        <v>204</v>
      </c>
      <c r="G125" s="74" t="s">
        <v>175</v>
      </c>
      <c r="H125" s="74" t="s">
        <v>246</v>
      </c>
      <c r="I125" s="76" t="n">
        <v>45992</v>
      </c>
    </row>
    <row r="126" customFormat="false" ht="15" hidden="true" customHeight="false" outlineLevel="0" collapsed="false">
      <c r="A126" s="74" t="s">
        <v>28</v>
      </c>
      <c r="B126" s="74" t="s">
        <v>30</v>
      </c>
      <c r="C126" s="74" t="s">
        <v>245</v>
      </c>
      <c r="D126" s="75" t="n">
        <v>1938.41</v>
      </c>
      <c r="E126" s="74" t="n">
        <v>5</v>
      </c>
      <c r="F126" s="74" t="s">
        <v>204</v>
      </c>
      <c r="G126" s="74" t="s">
        <v>175</v>
      </c>
      <c r="H126" s="74" t="s">
        <v>246</v>
      </c>
      <c r="I126" s="76" t="n">
        <v>46023</v>
      </c>
    </row>
    <row r="127" customFormat="false" ht="15" hidden="false" customHeight="false" outlineLevel="0" collapsed="false">
      <c r="A127" s="74" t="s">
        <v>31</v>
      </c>
      <c r="B127" s="74" t="s">
        <v>30</v>
      </c>
      <c r="C127" s="74" t="s">
        <v>245</v>
      </c>
      <c r="D127" s="75" t="n">
        <v>1938.41</v>
      </c>
      <c r="E127" s="74" t="n">
        <v>5</v>
      </c>
      <c r="F127" s="74"/>
      <c r="G127" s="74"/>
      <c r="H127" s="74"/>
      <c r="I127" s="74"/>
    </row>
    <row r="128" customFormat="false" ht="15" hidden="true" customHeight="false" outlineLevel="0" collapsed="false">
      <c r="A128" s="74" t="s">
        <v>34</v>
      </c>
      <c r="B128" s="74" t="s">
        <v>30</v>
      </c>
      <c r="C128" s="74" t="s">
        <v>245</v>
      </c>
      <c r="D128" s="75" t="n">
        <v>1938.41</v>
      </c>
      <c r="E128" s="74" t="n">
        <v>5</v>
      </c>
      <c r="F128" s="74"/>
      <c r="G128" s="74"/>
      <c r="H128" s="74" t="s">
        <v>246</v>
      </c>
      <c r="I128" s="74"/>
    </row>
    <row r="129" customFormat="false" ht="15" hidden="true" customHeight="false" outlineLevel="0" collapsed="false">
      <c r="A129" s="74" t="s">
        <v>38</v>
      </c>
      <c r="B129" s="74" t="s">
        <v>30</v>
      </c>
      <c r="C129" s="74" t="s">
        <v>245</v>
      </c>
      <c r="D129" s="75" t="n">
        <v>1938.41</v>
      </c>
      <c r="E129" s="74" t="n">
        <v>5</v>
      </c>
      <c r="F129" s="74" t="s">
        <v>204</v>
      </c>
      <c r="G129" s="74" t="s">
        <v>175</v>
      </c>
      <c r="H129" s="74" t="s">
        <v>246</v>
      </c>
      <c r="I129" s="76" t="n">
        <v>45962</v>
      </c>
    </row>
    <row r="130" customFormat="false" ht="15" hidden="true" customHeight="false" outlineLevel="0" collapsed="false">
      <c r="A130" s="74" t="s">
        <v>24</v>
      </c>
      <c r="B130" s="74" t="s">
        <v>30</v>
      </c>
      <c r="C130" s="74" t="s">
        <v>247</v>
      </c>
      <c r="D130" s="75" t="n">
        <v>80</v>
      </c>
      <c r="E130" s="74"/>
      <c r="F130" s="74"/>
      <c r="G130" s="74"/>
      <c r="H130" s="74"/>
      <c r="I130" s="74"/>
    </row>
    <row r="131" customFormat="false" ht="15" hidden="true" customHeight="false" outlineLevel="0" collapsed="false">
      <c r="A131" s="74" t="s">
        <v>28</v>
      </c>
      <c r="B131" s="74" t="s">
        <v>30</v>
      </c>
      <c r="C131" s="74" t="s">
        <v>247</v>
      </c>
      <c r="D131" s="75" t="n">
        <v>80</v>
      </c>
      <c r="E131" s="74"/>
      <c r="F131" s="74"/>
      <c r="G131" s="74"/>
      <c r="H131" s="74"/>
      <c r="I131" s="74"/>
    </row>
    <row r="132" customFormat="false" ht="15" hidden="false" customHeight="false" outlineLevel="0" collapsed="false">
      <c r="A132" s="74" t="s">
        <v>31</v>
      </c>
      <c r="B132" s="74" t="s">
        <v>30</v>
      </c>
      <c r="C132" s="74" t="s">
        <v>247</v>
      </c>
      <c r="D132" s="75" t="n">
        <v>80</v>
      </c>
      <c r="E132" s="74"/>
      <c r="F132" s="74"/>
      <c r="G132" s="74"/>
      <c r="H132" s="74"/>
      <c r="I132" s="74"/>
    </row>
    <row r="133" customFormat="false" ht="15" hidden="true" customHeight="false" outlineLevel="0" collapsed="false">
      <c r="A133" s="74" t="s">
        <v>34</v>
      </c>
      <c r="B133" s="74" t="s">
        <v>30</v>
      </c>
      <c r="C133" s="74" t="s">
        <v>247</v>
      </c>
      <c r="D133" s="75" t="n">
        <v>80</v>
      </c>
      <c r="E133" s="74"/>
      <c r="F133" s="74"/>
      <c r="G133" s="74"/>
      <c r="H133" s="74"/>
      <c r="I133" s="74"/>
    </row>
    <row r="134" customFormat="false" ht="15" hidden="true" customHeight="false" outlineLevel="0" collapsed="false">
      <c r="A134" s="74" t="s">
        <v>38</v>
      </c>
      <c r="B134" s="74" t="s">
        <v>30</v>
      </c>
      <c r="C134" s="74" t="s">
        <v>247</v>
      </c>
      <c r="D134" s="75" t="n">
        <v>80</v>
      </c>
      <c r="E134" s="74"/>
      <c r="F134" s="74"/>
      <c r="G134" s="74"/>
      <c r="H134" s="74"/>
      <c r="I134" s="74"/>
    </row>
    <row r="135" customFormat="false" ht="15" hidden="true" customHeight="false" outlineLevel="0" collapsed="false">
      <c r="A135" s="74" t="s">
        <v>24</v>
      </c>
      <c r="B135" s="74" t="s">
        <v>30</v>
      </c>
      <c r="C135" s="74" t="s">
        <v>248</v>
      </c>
      <c r="D135" s="75" t="n">
        <v>135</v>
      </c>
      <c r="E135" s="74" t="n">
        <v>25</v>
      </c>
      <c r="F135" s="74"/>
      <c r="G135" s="74" t="s">
        <v>175</v>
      </c>
      <c r="H135" s="74"/>
      <c r="I135" s="76" t="n">
        <v>46023</v>
      </c>
    </row>
    <row r="136" customFormat="false" ht="15" hidden="true" customHeight="false" outlineLevel="0" collapsed="false">
      <c r="A136" s="74" t="s">
        <v>28</v>
      </c>
      <c r="B136" s="74" t="s">
        <v>30</v>
      </c>
      <c r="C136" s="74" t="s">
        <v>248</v>
      </c>
      <c r="D136" s="75" t="n">
        <v>140.47</v>
      </c>
      <c r="E136" s="74" t="n">
        <v>25</v>
      </c>
      <c r="F136" s="74" t="s">
        <v>204</v>
      </c>
      <c r="G136" s="74"/>
      <c r="H136" s="74"/>
      <c r="I136" s="74"/>
    </row>
    <row r="137" customFormat="false" ht="15" hidden="false" customHeight="false" outlineLevel="0" collapsed="false">
      <c r="A137" s="74" t="s">
        <v>31</v>
      </c>
      <c r="B137" s="74" t="s">
        <v>30</v>
      </c>
      <c r="C137" s="74" t="s">
        <v>248</v>
      </c>
      <c r="D137" s="75" t="n">
        <v>85.25</v>
      </c>
      <c r="E137" s="74" t="n">
        <v>25</v>
      </c>
      <c r="F137" s="74"/>
      <c r="G137" s="74"/>
      <c r="H137" s="74"/>
      <c r="I137" s="74"/>
    </row>
    <row r="138" customFormat="false" ht="15" hidden="true" customHeight="false" outlineLevel="0" collapsed="false">
      <c r="A138" s="74" t="s">
        <v>34</v>
      </c>
      <c r="B138" s="74" t="s">
        <v>30</v>
      </c>
      <c r="C138" s="74" t="s">
        <v>248</v>
      </c>
      <c r="D138" s="75" t="n">
        <v>85.25</v>
      </c>
      <c r="E138" s="74" t="n">
        <v>25</v>
      </c>
      <c r="F138" s="74"/>
      <c r="G138" s="74"/>
      <c r="H138" s="74"/>
      <c r="I138" s="74"/>
    </row>
    <row r="139" customFormat="false" ht="15" hidden="true" customHeight="false" outlineLevel="0" collapsed="false">
      <c r="A139" s="74" t="s">
        <v>38</v>
      </c>
      <c r="B139" s="74" t="s">
        <v>30</v>
      </c>
      <c r="C139" s="74" t="s">
        <v>248</v>
      </c>
      <c r="D139" s="75" t="n">
        <v>85.25</v>
      </c>
      <c r="E139" s="74" t="n">
        <v>25</v>
      </c>
      <c r="F139" s="74"/>
      <c r="G139" s="74"/>
      <c r="H139" s="74"/>
      <c r="I139" s="74"/>
    </row>
    <row r="140" customFormat="false" ht="15" hidden="true" customHeight="false" outlineLevel="0" collapsed="false">
      <c r="A140" s="74" t="s">
        <v>24</v>
      </c>
      <c r="B140" s="74" t="s">
        <v>30</v>
      </c>
      <c r="C140" s="74" t="s">
        <v>249</v>
      </c>
      <c r="D140" s="75" t="n">
        <v>249.15</v>
      </c>
      <c r="E140" s="74" t="s">
        <v>250</v>
      </c>
      <c r="F140" s="74" t="s">
        <v>204</v>
      </c>
      <c r="G140" s="74" t="s">
        <v>175</v>
      </c>
      <c r="H140" s="74"/>
      <c r="I140" s="74"/>
    </row>
    <row r="141" customFormat="false" ht="15" hidden="true" customHeight="false" outlineLevel="0" collapsed="false">
      <c r="A141" s="74" t="s">
        <v>28</v>
      </c>
      <c r="B141" s="74" t="s">
        <v>30</v>
      </c>
      <c r="C141" s="74" t="s">
        <v>249</v>
      </c>
      <c r="D141" s="75" t="n">
        <v>211.13</v>
      </c>
      <c r="E141" s="74" t="s">
        <v>250</v>
      </c>
      <c r="F141" s="74" t="s">
        <v>204</v>
      </c>
      <c r="G141" s="74" t="s">
        <v>175</v>
      </c>
      <c r="H141" s="74"/>
      <c r="I141" s="74"/>
    </row>
    <row r="142" customFormat="false" ht="15" hidden="false" customHeight="false" outlineLevel="0" collapsed="false">
      <c r="A142" s="74" t="s">
        <v>31</v>
      </c>
      <c r="B142" s="74" t="s">
        <v>30</v>
      </c>
      <c r="C142" s="74" t="s">
        <v>249</v>
      </c>
      <c r="D142" s="75" t="n">
        <v>249.15</v>
      </c>
      <c r="E142" s="74" t="s">
        <v>250</v>
      </c>
      <c r="F142" s="74"/>
      <c r="G142" s="74"/>
      <c r="H142" s="74"/>
      <c r="I142" s="74"/>
    </row>
    <row r="143" customFormat="false" ht="15" hidden="true" customHeight="false" outlineLevel="0" collapsed="false">
      <c r="A143" s="74" t="s">
        <v>34</v>
      </c>
      <c r="B143" s="74" t="s">
        <v>30</v>
      </c>
      <c r="C143" s="74" t="s">
        <v>249</v>
      </c>
      <c r="D143" s="75" t="n">
        <v>249.15</v>
      </c>
      <c r="E143" s="74" t="s">
        <v>250</v>
      </c>
      <c r="F143" s="74" t="s">
        <v>204</v>
      </c>
      <c r="G143" s="74"/>
      <c r="H143" s="74" t="s">
        <v>246</v>
      </c>
      <c r="I143" s="76" t="n">
        <v>45931</v>
      </c>
    </row>
    <row r="144" customFormat="false" ht="15" hidden="true" customHeight="false" outlineLevel="0" collapsed="false">
      <c r="A144" s="74" t="s">
        <v>38</v>
      </c>
      <c r="B144" s="74" t="s">
        <v>30</v>
      </c>
      <c r="C144" s="74" t="s">
        <v>249</v>
      </c>
      <c r="D144" s="75" t="n">
        <v>249.15</v>
      </c>
      <c r="E144" s="74" t="s">
        <v>250</v>
      </c>
      <c r="F144" s="74" t="s">
        <v>204</v>
      </c>
      <c r="G144" s="74" t="s">
        <v>175</v>
      </c>
      <c r="H144" s="74" t="s">
        <v>246</v>
      </c>
      <c r="I144" s="76" t="n">
        <v>45992</v>
      </c>
    </row>
    <row r="145" customFormat="false" ht="15" hidden="true" customHeight="false" outlineLevel="0" collapsed="false">
      <c r="A145" s="74" t="s">
        <v>24</v>
      </c>
      <c r="B145" s="74" t="s">
        <v>30</v>
      </c>
      <c r="C145" s="74" t="s">
        <v>251</v>
      </c>
      <c r="D145" s="75" t="n">
        <v>200</v>
      </c>
      <c r="E145" s="74" t="n">
        <v>25</v>
      </c>
      <c r="F145" s="74"/>
      <c r="G145" s="74"/>
      <c r="H145" s="74"/>
      <c r="I145" s="74"/>
    </row>
    <row r="146" customFormat="false" ht="15" hidden="true" customHeight="false" outlineLevel="0" collapsed="false">
      <c r="A146" s="74" t="s">
        <v>28</v>
      </c>
      <c r="B146" s="74" t="s">
        <v>30</v>
      </c>
      <c r="C146" s="74" t="s">
        <v>251</v>
      </c>
      <c r="D146" s="75" t="n">
        <v>200</v>
      </c>
      <c r="E146" s="74" t="n">
        <v>25</v>
      </c>
      <c r="F146" s="74"/>
      <c r="G146" s="74"/>
      <c r="H146" s="74"/>
      <c r="I146" s="74"/>
    </row>
    <row r="147" customFormat="false" ht="15" hidden="false" customHeight="false" outlineLevel="0" collapsed="false">
      <c r="A147" s="74" t="s">
        <v>31</v>
      </c>
      <c r="B147" s="74" t="s">
        <v>30</v>
      </c>
      <c r="C147" s="74" t="s">
        <v>251</v>
      </c>
      <c r="D147" s="75" t="s">
        <v>49</v>
      </c>
      <c r="E147" s="74" t="n">
        <v>25</v>
      </c>
      <c r="F147" s="74"/>
      <c r="G147" s="74"/>
      <c r="H147" s="74"/>
      <c r="I147" s="74"/>
    </row>
    <row r="148" customFormat="false" ht="15" hidden="true" customHeight="false" outlineLevel="0" collapsed="false">
      <c r="A148" s="74" t="s">
        <v>34</v>
      </c>
      <c r="B148" s="74" t="s">
        <v>30</v>
      </c>
      <c r="C148" s="74" t="s">
        <v>251</v>
      </c>
      <c r="D148" s="75" t="n">
        <v>200</v>
      </c>
      <c r="E148" s="74" t="n">
        <v>25</v>
      </c>
      <c r="F148" s="74"/>
      <c r="G148" s="74"/>
      <c r="H148" s="74"/>
      <c r="I148" s="74"/>
    </row>
    <row r="149" customFormat="false" ht="15" hidden="true" customHeight="false" outlineLevel="0" collapsed="false">
      <c r="A149" s="74" t="s">
        <v>38</v>
      </c>
      <c r="B149" s="74" t="s">
        <v>30</v>
      </c>
      <c r="C149" s="74" t="s">
        <v>251</v>
      </c>
      <c r="D149" s="75" t="n">
        <v>200</v>
      </c>
      <c r="E149" s="74" t="n">
        <v>25</v>
      </c>
      <c r="F149" s="74"/>
      <c r="G149" s="74"/>
      <c r="H149" s="74"/>
      <c r="I149" s="74"/>
    </row>
    <row r="150" customFormat="false" ht="15" hidden="true" customHeight="false" outlineLevel="0" collapsed="false">
      <c r="A150" s="74" t="s">
        <v>24</v>
      </c>
      <c r="B150" s="74" t="s">
        <v>30</v>
      </c>
      <c r="C150" s="74" t="s">
        <v>252</v>
      </c>
      <c r="D150" s="75" t="n">
        <v>1543.44</v>
      </c>
      <c r="E150" s="74" t="n">
        <v>20</v>
      </c>
      <c r="F150" s="74" t="s">
        <v>204</v>
      </c>
      <c r="G150" s="74" t="s">
        <v>175</v>
      </c>
      <c r="H150" s="74" t="s">
        <v>246</v>
      </c>
      <c r="I150" s="76" t="n">
        <v>45992</v>
      </c>
    </row>
    <row r="151" customFormat="false" ht="15" hidden="true" customHeight="false" outlineLevel="0" collapsed="false">
      <c r="A151" s="74" t="s">
        <v>28</v>
      </c>
      <c r="B151" s="74" t="s">
        <v>30</v>
      </c>
      <c r="C151" s="74" t="s">
        <v>252</v>
      </c>
      <c r="D151" s="75" t="n">
        <v>1151</v>
      </c>
      <c r="E151" s="74" t="n">
        <v>20</v>
      </c>
      <c r="F151" s="74" t="s">
        <v>204</v>
      </c>
      <c r="G151" s="74" t="s">
        <v>175</v>
      </c>
      <c r="H151" s="74"/>
      <c r="I151" s="74"/>
    </row>
    <row r="152" customFormat="false" ht="15" hidden="false" customHeight="false" outlineLevel="0" collapsed="false">
      <c r="A152" s="74" t="s">
        <v>31</v>
      </c>
      <c r="B152" s="74" t="s">
        <v>30</v>
      </c>
      <c r="C152" s="74" t="s">
        <v>252</v>
      </c>
      <c r="D152" s="75" t="n">
        <v>900</v>
      </c>
      <c r="E152" s="74" t="n">
        <v>20</v>
      </c>
      <c r="F152" s="74"/>
      <c r="G152" s="74"/>
      <c r="H152" s="74"/>
      <c r="I152" s="74"/>
    </row>
    <row r="153" customFormat="false" ht="15" hidden="true" customHeight="false" outlineLevel="0" collapsed="false">
      <c r="A153" s="74" t="s">
        <v>34</v>
      </c>
      <c r="B153" s="74" t="s">
        <v>30</v>
      </c>
      <c r="C153" s="74" t="s">
        <v>252</v>
      </c>
      <c r="D153" s="75" t="n">
        <v>900</v>
      </c>
      <c r="E153" s="74" t="n">
        <v>20</v>
      </c>
      <c r="F153" s="74"/>
      <c r="G153" s="74"/>
      <c r="H153" s="74"/>
      <c r="I153" s="74"/>
    </row>
    <row r="154" customFormat="false" ht="15" hidden="true" customHeight="false" outlineLevel="0" collapsed="false">
      <c r="A154" s="74" t="s">
        <v>38</v>
      </c>
      <c r="B154" s="74" t="s">
        <v>30</v>
      </c>
      <c r="C154" s="74" t="s">
        <v>252</v>
      </c>
      <c r="D154" s="75" t="n">
        <v>900</v>
      </c>
      <c r="E154" s="74" t="n">
        <v>20</v>
      </c>
      <c r="F154" s="74"/>
      <c r="G154" s="74"/>
      <c r="H154" s="74"/>
      <c r="I154" s="74"/>
    </row>
    <row r="155" customFormat="false" ht="15" hidden="true" customHeight="false" outlineLevel="0" collapsed="false">
      <c r="A155" s="74" t="s">
        <v>24</v>
      </c>
      <c r="B155" s="74" t="s">
        <v>27</v>
      </c>
      <c r="C155" s="74" t="s">
        <v>253</v>
      </c>
      <c r="D155" s="75" t="n">
        <v>190</v>
      </c>
      <c r="E155" s="74" t="n">
        <v>5</v>
      </c>
      <c r="F155" s="74" t="s">
        <v>204</v>
      </c>
      <c r="G155" s="74" t="s">
        <v>175</v>
      </c>
      <c r="H155" s="74"/>
      <c r="I155" s="74"/>
    </row>
    <row r="156" customFormat="false" ht="15" hidden="true" customHeight="false" outlineLevel="0" collapsed="false">
      <c r="A156" s="74" t="s">
        <v>28</v>
      </c>
      <c r="B156" s="74" t="s">
        <v>27</v>
      </c>
      <c r="C156" s="74" t="s">
        <v>253</v>
      </c>
      <c r="D156" s="75" t="n">
        <v>190</v>
      </c>
      <c r="E156" s="74" t="n">
        <v>5</v>
      </c>
      <c r="F156" s="74" t="s">
        <v>204</v>
      </c>
      <c r="G156" s="74" t="s">
        <v>175</v>
      </c>
      <c r="H156" s="74" t="s">
        <v>246</v>
      </c>
      <c r="I156" s="76" t="n">
        <v>46023</v>
      </c>
    </row>
    <row r="157" customFormat="false" ht="15" hidden="false" customHeight="false" outlineLevel="0" collapsed="false">
      <c r="A157" s="74" t="s">
        <v>31</v>
      </c>
      <c r="B157" s="74" t="s">
        <v>27</v>
      </c>
      <c r="C157" s="74" t="s">
        <v>253</v>
      </c>
      <c r="D157" s="75" t="n">
        <v>190</v>
      </c>
      <c r="E157" s="74" t="n">
        <v>5</v>
      </c>
      <c r="F157" s="74"/>
      <c r="G157" s="74"/>
      <c r="H157" s="74"/>
      <c r="I157" s="74"/>
    </row>
    <row r="158" customFormat="false" ht="15" hidden="true" customHeight="false" outlineLevel="0" collapsed="false">
      <c r="A158" s="74" t="s">
        <v>34</v>
      </c>
      <c r="B158" s="74" t="s">
        <v>27</v>
      </c>
      <c r="C158" s="74" t="s">
        <v>253</v>
      </c>
      <c r="D158" s="75" t="n">
        <v>190</v>
      </c>
      <c r="E158" s="74" t="n">
        <v>5</v>
      </c>
      <c r="F158" s="74" t="s">
        <v>204</v>
      </c>
      <c r="G158" s="74"/>
      <c r="H158" s="74" t="s">
        <v>246</v>
      </c>
      <c r="I158" s="74"/>
    </row>
    <row r="159" customFormat="false" ht="15" hidden="true" customHeight="false" outlineLevel="0" collapsed="false">
      <c r="A159" s="74" t="s">
        <v>38</v>
      </c>
      <c r="B159" s="74" t="s">
        <v>27</v>
      </c>
      <c r="C159" s="74" t="s">
        <v>253</v>
      </c>
      <c r="D159" s="75" t="n">
        <v>190</v>
      </c>
      <c r="E159" s="74" t="n">
        <v>5</v>
      </c>
      <c r="F159" s="74" t="s">
        <v>204</v>
      </c>
      <c r="G159" s="74" t="s">
        <v>175</v>
      </c>
      <c r="H159" s="74" t="s">
        <v>246</v>
      </c>
      <c r="I159" s="76" t="n">
        <v>45992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63" width="12.29"/>
    <col collapsed="false" customWidth="true" hidden="false" outlineLevel="0" max="3" min="3" style="63" width="16.57"/>
    <col collapsed="false" customWidth="true" hidden="false" outlineLevel="0" max="4" min="4" style="63" width="19.42"/>
    <col collapsed="false" customWidth="true" hidden="false" outlineLevel="0" max="5" min="5" style="63" width="33.57"/>
    <col collapsed="false" customWidth="true" hidden="false" outlineLevel="0" max="7" min="6" style="63" width="17.42"/>
    <col collapsed="false" customWidth="true" hidden="false" outlineLevel="0" max="8" min="8" style="63" width="17.57"/>
    <col collapsed="false" customWidth="true" hidden="false" outlineLevel="0" max="16" min="12" style="63" width="12.57"/>
  </cols>
  <sheetData>
    <row r="1" customFormat="false" ht="15" hidden="false" customHeight="true" outlineLevel="0" collapsed="false">
      <c r="A1" s="77"/>
      <c r="B1" s="78"/>
      <c r="C1" s="78"/>
    </row>
    <row r="2" customFormat="false" ht="15" hidden="false" customHeight="true" outlineLevel="0" collapsed="false">
      <c r="D2" s="79"/>
      <c r="E2" s="80"/>
      <c r="F2" s="81"/>
      <c r="G2" s="80"/>
    </row>
    <row r="4" customFormat="false" ht="15" hidden="false" customHeight="true" outlineLevel="0" collapsed="false">
      <c r="B4" s="82" t="s">
        <v>254</v>
      </c>
      <c r="C4" s="82"/>
      <c r="D4" s="82"/>
      <c r="E4" s="82"/>
      <c r="F4" s="82"/>
      <c r="G4" s="82"/>
      <c r="H4" s="82"/>
      <c r="I4" s="83"/>
      <c r="J4" s="84" t="s">
        <v>255</v>
      </c>
      <c r="K4" s="84"/>
      <c r="L4" s="84"/>
      <c r="M4" s="84"/>
      <c r="N4" s="84"/>
      <c r="O4" s="84"/>
      <c r="P4" s="84"/>
    </row>
    <row r="5" customFormat="false" ht="15" hidden="false" customHeight="true" outlineLevel="0" collapsed="false">
      <c r="B5" s="85" t="s">
        <v>256</v>
      </c>
      <c r="C5" s="86" t="s">
        <v>257</v>
      </c>
      <c r="D5" s="85" t="s">
        <v>258</v>
      </c>
      <c r="E5" s="85" t="s">
        <v>259</v>
      </c>
      <c r="F5" s="85" t="s">
        <v>260</v>
      </c>
      <c r="G5" s="85" t="s">
        <v>261</v>
      </c>
      <c r="H5" s="85" t="s">
        <v>262</v>
      </c>
      <c r="J5" s="87" t="s">
        <v>263</v>
      </c>
      <c r="K5" s="87"/>
      <c r="L5" s="88" t="s">
        <v>264</v>
      </c>
      <c r="M5" s="88" t="s">
        <v>265</v>
      </c>
      <c r="N5" s="88" t="s">
        <v>266</v>
      </c>
      <c r="O5" s="87" t="s">
        <v>267</v>
      </c>
      <c r="P5" s="88" t="s">
        <v>268</v>
      </c>
    </row>
    <row r="6" customFormat="false" ht="15" hidden="false" customHeight="true" outlineLevel="0" collapsed="false">
      <c r="B6" s="89"/>
      <c r="C6" s="90"/>
      <c r="D6" s="91"/>
      <c r="E6" s="91"/>
      <c r="F6" s="92"/>
      <c r="G6" s="93"/>
      <c r="H6" s="94"/>
      <c r="J6" s="95" t="s">
        <v>269</v>
      </c>
      <c r="K6" s="96"/>
      <c r="L6" s="97" t="n">
        <v>18187.49</v>
      </c>
      <c r="M6" s="97" t="n">
        <f aca="false">M20</f>
        <v>0</v>
      </c>
      <c r="N6" s="97" t="n">
        <f aca="false">M23</f>
        <v>0</v>
      </c>
      <c r="O6" s="98" t="n">
        <f aca="false">M6-N6</f>
        <v>0</v>
      </c>
      <c r="P6" s="99" t="n">
        <f aca="false">L6+O6</f>
        <v>18187.49</v>
      </c>
    </row>
    <row r="7" customFormat="false" ht="15" hidden="false" customHeight="true" outlineLevel="0" collapsed="false">
      <c r="B7" s="100"/>
      <c r="C7" s="101"/>
      <c r="D7" s="102"/>
      <c r="E7" s="102"/>
      <c r="F7" s="103"/>
      <c r="G7" s="101"/>
      <c r="H7" s="104"/>
      <c r="J7" s="105" t="s">
        <v>28</v>
      </c>
      <c r="K7" s="106"/>
      <c r="L7" s="107"/>
      <c r="M7" s="107"/>
      <c r="N7" s="107"/>
      <c r="O7" s="108" t="n">
        <f aca="false">M7-N7</f>
        <v>0</v>
      </c>
      <c r="P7" s="109" t="n">
        <f aca="false">L7+O7</f>
        <v>0</v>
      </c>
    </row>
    <row r="8" customFormat="false" ht="15" hidden="false" customHeight="true" outlineLevel="0" collapsed="false">
      <c r="B8" s="89"/>
      <c r="C8" s="93"/>
      <c r="D8" s="91"/>
      <c r="E8" s="91"/>
      <c r="F8" s="92"/>
      <c r="G8" s="93"/>
      <c r="H8" s="94"/>
      <c r="J8" s="95" t="s">
        <v>31</v>
      </c>
      <c r="K8" s="96"/>
      <c r="L8" s="97"/>
      <c r="M8" s="97"/>
      <c r="N8" s="97"/>
      <c r="O8" s="110" t="n">
        <f aca="false">M8-N8</f>
        <v>0</v>
      </c>
      <c r="P8" s="99" t="n">
        <f aca="false">L8+O8</f>
        <v>0</v>
      </c>
    </row>
    <row r="9" customFormat="false" ht="15" hidden="false" customHeight="true" outlineLevel="0" collapsed="false">
      <c r="B9" s="100"/>
      <c r="C9" s="101"/>
      <c r="D9" s="102"/>
      <c r="E9" s="102"/>
      <c r="F9" s="103"/>
      <c r="G9" s="101"/>
      <c r="H9" s="104"/>
      <c r="J9" s="105" t="s">
        <v>34</v>
      </c>
      <c r="K9" s="106"/>
      <c r="L9" s="107"/>
      <c r="M9" s="107"/>
      <c r="N9" s="107"/>
      <c r="O9" s="111" t="n">
        <f aca="false">M9-N9</f>
        <v>0</v>
      </c>
      <c r="P9" s="109" t="n">
        <f aca="false">L9+O9</f>
        <v>0</v>
      </c>
    </row>
    <row r="10" customFormat="false" ht="15" hidden="false" customHeight="true" outlineLevel="0" collapsed="false">
      <c r="B10" s="89"/>
      <c r="C10" s="93"/>
      <c r="D10" s="91"/>
      <c r="E10" s="91"/>
      <c r="F10" s="92"/>
      <c r="G10" s="93"/>
      <c r="H10" s="94"/>
      <c r="J10" s="95" t="s">
        <v>38</v>
      </c>
      <c r="K10" s="96"/>
      <c r="L10" s="97"/>
      <c r="M10" s="97"/>
      <c r="N10" s="97"/>
      <c r="O10" s="112" t="n">
        <f aca="false">M10-N10</f>
        <v>0</v>
      </c>
      <c r="P10" s="113" t="n">
        <f aca="false">L10+O10</f>
        <v>0</v>
      </c>
    </row>
    <row r="11" customFormat="false" ht="15" hidden="false" customHeight="true" outlineLevel="0" collapsed="false">
      <c r="B11" s="114"/>
      <c r="C11" s="115"/>
      <c r="D11" s="116"/>
      <c r="E11" s="116"/>
      <c r="F11" s="117"/>
      <c r="G11" s="115"/>
      <c r="H11" s="118"/>
      <c r="J11" s="105" t="s">
        <v>41</v>
      </c>
      <c r="K11" s="106"/>
      <c r="L11" s="107"/>
      <c r="M11" s="107"/>
      <c r="N11" s="107"/>
      <c r="O11" s="119"/>
      <c r="P11" s="107"/>
    </row>
    <row r="12" customFormat="false" ht="15" hidden="false" customHeight="true" outlineLevel="0" collapsed="false">
      <c r="B12" s="120"/>
      <c r="C12" s="121"/>
      <c r="D12" s="122"/>
      <c r="E12" s="122"/>
      <c r="F12" s="123"/>
      <c r="G12" s="121"/>
      <c r="H12" s="124"/>
      <c r="J12" s="95" t="s">
        <v>43</v>
      </c>
      <c r="K12" s="96"/>
      <c r="L12" s="97"/>
      <c r="M12" s="97"/>
      <c r="N12" s="97"/>
      <c r="O12" s="112"/>
      <c r="P12" s="113"/>
    </row>
    <row r="13" customFormat="false" ht="15" hidden="false" customHeight="true" outlineLevel="0" collapsed="false">
      <c r="B13" s="114"/>
      <c r="C13" s="115"/>
      <c r="D13" s="116"/>
      <c r="E13" s="116"/>
      <c r="F13" s="117"/>
      <c r="G13" s="115"/>
      <c r="H13" s="118"/>
      <c r="J13" s="105" t="s">
        <v>44</v>
      </c>
      <c r="K13" s="106"/>
      <c r="L13" s="107"/>
      <c r="M13" s="107"/>
      <c r="N13" s="107"/>
      <c r="O13" s="119"/>
      <c r="P13" s="107"/>
    </row>
    <row r="14" customFormat="false" ht="15" hidden="false" customHeight="true" outlineLevel="0" collapsed="false">
      <c r="B14" s="120"/>
      <c r="C14" s="121"/>
      <c r="D14" s="122"/>
      <c r="E14" s="122"/>
      <c r="F14" s="123"/>
      <c r="G14" s="121"/>
      <c r="H14" s="124"/>
      <c r="J14" s="95" t="s">
        <v>45</v>
      </c>
      <c r="K14" s="96"/>
      <c r="L14" s="97"/>
      <c r="M14" s="97"/>
      <c r="N14" s="97"/>
      <c r="O14" s="112"/>
      <c r="P14" s="113"/>
    </row>
    <row r="15" customFormat="false" ht="15" hidden="false" customHeight="true" outlineLevel="0" collapsed="false">
      <c r="B15" s="114"/>
      <c r="C15" s="115"/>
      <c r="D15" s="116"/>
      <c r="E15" s="116"/>
      <c r="F15" s="117"/>
      <c r="G15" s="115"/>
      <c r="H15" s="118"/>
      <c r="J15" s="105" t="s">
        <v>46</v>
      </c>
      <c r="K15" s="106"/>
      <c r="L15" s="107"/>
      <c r="M15" s="107"/>
      <c r="N15" s="107"/>
      <c r="O15" s="119"/>
      <c r="P15" s="107"/>
    </row>
    <row r="16" customFormat="false" ht="15" hidden="false" customHeight="true" outlineLevel="0" collapsed="false">
      <c r="B16" s="120"/>
      <c r="C16" s="121"/>
      <c r="D16" s="122"/>
      <c r="E16" s="122"/>
      <c r="F16" s="123"/>
      <c r="G16" s="121"/>
      <c r="H16" s="124"/>
      <c r="J16" s="95" t="s">
        <v>47</v>
      </c>
      <c r="K16" s="96"/>
      <c r="L16" s="99"/>
      <c r="M16" s="99"/>
      <c r="N16" s="99"/>
      <c r="O16" s="125"/>
      <c r="P16" s="83"/>
    </row>
    <row r="17" customFormat="false" ht="15" hidden="false" customHeight="true" outlineLevel="0" collapsed="false">
      <c r="B17" s="114"/>
      <c r="C17" s="115"/>
      <c r="D17" s="116"/>
      <c r="E17" s="116"/>
      <c r="F17" s="117"/>
      <c r="G17" s="115"/>
      <c r="H17" s="118"/>
      <c r="J17" s="105" t="s">
        <v>48</v>
      </c>
      <c r="K17" s="106"/>
      <c r="L17" s="109"/>
      <c r="M17" s="109"/>
      <c r="N17" s="109"/>
      <c r="O17" s="108"/>
      <c r="P17" s="109"/>
    </row>
    <row r="18" customFormat="false" ht="15" hidden="false" customHeight="true" outlineLevel="0" collapsed="false">
      <c r="B18" s="120"/>
      <c r="C18" s="121"/>
      <c r="D18" s="122"/>
      <c r="E18" s="122"/>
      <c r="F18" s="123"/>
      <c r="G18" s="121"/>
      <c r="H18" s="124"/>
    </row>
    <row r="19" customFormat="false" ht="15" hidden="false" customHeight="true" outlineLevel="0" collapsed="false">
      <c r="B19" s="114"/>
      <c r="C19" s="115"/>
      <c r="D19" s="116"/>
      <c r="E19" s="116"/>
      <c r="F19" s="117"/>
      <c r="G19" s="115"/>
      <c r="H19" s="118"/>
      <c r="J19" s="84" t="s">
        <v>270</v>
      </c>
      <c r="K19" s="84"/>
      <c r="L19" s="84"/>
      <c r="M19" s="84"/>
    </row>
    <row r="20" customFormat="false" ht="15" hidden="false" customHeight="true" outlineLevel="0" collapsed="false">
      <c r="B20" s="89"/>
      <c r="C20" s="93"/>
      <c r="D20" s="91"/>
      <c r="E20" s="91"/>
      <c r="F20" s="92"/>
      <c r="G20" s="93"/>
      <c r="H20" s="94"/>
      <c r="J20" s="87" t="s">
        <v>271</v>
      </c>
      <c r="K20" s="126"/>
      <c r="L20" s="126"/>
      <c r="M20" s="127" t="n">
        <f aca="false">SUM(M21:M22)</f>
        <v>0</v>
      </c>
    </row>
    <row r="21" customFormat="false" ht="15" hidden="false" customHeight="true" outlineLevel="0" collapsed="false">
      <c r="B21" s="100"/>
      <c r="C21" s="101"/>
      <c r="D21" s="102"/>
      <c r="E21" s="102"/>
      <c r="F21" s="103"/>
      <c r="G21" s="101"/>
      <c r="H21" s="104"/>
      <c r="J21" s="96" t="s">
        <v>272</v>
      </c>
      <c r="K21" s="96"/>
      <c r="L21" s="96"/>
      <c r="M21" s="99" t="n">
        <f aca="false">SUM(F6:F10,F20:F22,F27:F28,F30,F32,F36,F37,F39,F40,F41,F42)</f>
        <v>0</v>
      </c>
    </row>
    <row r="22" customFormat="false" ht="15" hidden="false" customHeight="true" outlineLevel="0" collapsed="false">
      <c r="B22" s="89"/>
      <c r="C22" s="93"/>
      <c r="D22" s="91"/>
      <c r="E22" s="91"/>
      <c r="F22" s="92"/>
      <c r="G22" s="93"/>
      <c r="H22" s="94"/>
      <c r="J22" s="96" t="s">
        <v>273</v>
      </c>
      <c r="K22" s="96"/>
      <c r="L22" s="96"/>
      <c r="M22" s="99" t="n">
        <f aca="false">SUM(F33)</f>
        <v>0</v>
      </c>
    </row>
    <row r="23" customFormat="false" ht="15" hidden="false" customHeight="true" outlineLevel="0" collapsed="false">
      <c r="B23" s="114"/>
      <c r="C23" s="115"/>
      <c r="D23" s="116"/>
      <c r="E23" s="116"/>
      <c r="F23" s="117"/>
      <c r="G23" s="115"/>
      <c r="H23" s="118"/>
      <c r="J23" s="87" t="s">
        <v>274</v>
      </c>
      <c r="K23" s="126"/>
      <c r="L23" s="126"/>
      <c r="M23" s="127" t="n">
        <f aca="false">SUM(M24:M28)</f>
        <v>0</v>
      </c>
    </row>
    <row r="24" customFormat="false" ht="15" hidden="false" customHeight="true" outlineLevel="0" collapsed="false">
      <c r="B24" s="120"/>
      <c r="C24" s="121"/>
      <c r="D24" s="122"/>
      <c r="E24" s="122"/>
      <c r="F24" s="123"/>
      <c r="G24" s="121"/>
      <c r="H24" s="124"/>
      <c r="J24" s="96" t="s">
        <v>275</v>
      </c>
      <c r="K24" s="96"/>
      <c r="L24" s="96"/>
      <c r="M24" s="99" t="n">
        <f aca="false">SUM(F11,F16,F23:F26,F31,F35)</f>
        <v>0</v>
      </c>
    </row>
    <row r="25" customFormat="false" ht="15" hidden="false" customHeight="true" outlineLevel="0" collapsed="false">
      <c r="B25" s="114"/>
      <c r="C25" s="115"/>
      <c r="D25" s="116"/>
      <c r="E25" s="116"/>
      <c r="F25" s="117"/>
      <c r="G25" s="115"/>
      <c r="H25" s="118"/>
      <c r="J25" s="96" t="s">
        <v>276</v>
      </c>
      <c r="K25" s="96"/>
      <c r="L25" s="96"/>
      <c r="M25" s="99" t="n">
        <f aca="false">SUM(F12,F38)</f>
        <v>0</v>
      </c>
    </row>
    <row r="26" customFormat="false" ht="15" hidden="false" customHeight="true" outlineLevel="0" collapsed="false">
      <c r="B26" s="120"/>
      <c r="C26" s="121"/>
      <c r="D26" s="122"/>
      <c r="E26" s="122"/>
      <c r="F26" s="123"/>
      <c r="G26" s="121"/>
      <c r="H26" s="124"/>
      <c r="J26" s="96" t="s">
        <v>277</v>
      </c>
      <c r="K26" s="96"/>
      <c r="L26" s="96"/>
      <c r="M26" s="99" t="n">
        <f aca="false">SUM(F14,F15,F17,F18,F29,F34)</f>
        <v>0</v>
      </c>
    </row>
    <row r="27" customFormat="false" ht="15" hidden="false" customHeight="true" outlineLevel="0" collapsed="false">
      <c r="B27" s="100"/>
      <c r="C27" s="101"/>
      <c r="D27" s="102"/>
      <c r="E27" s="102"/>
      <c r="F27" s="103"/>
      <c r="G27" s="101"/>
      <c r="H27" s="104"/>
      <c r="J27" s="96" t="s">
        <v>278</v>
      </c>
      <c r="K27" s="96"/>
      <c r="L27" s="96"/>
      <c r="M27" s="99" t="n">
        <f aca="false">SUM(F13)</f>
        <v>0</v>
      </c>
    </row>
    <row r="28" customFormat="false" ht="15" hidden="false" customHeight="true" outlineLevel="0" collapsed="false">
      <c r="B28" s="89"/>
      <c r="C28" s="93"/>
      <c r="D28" s="91"/>
      <c r="E28" s="91"/>
      <c r="F28" s="92"/>
      <c r="G28" s="93"/>
      <c r="H28" s="94"/>
      <c r="J28" s="96" t="s">
        <v>279</v>
      </c>
      <c r="K28" s="96"/>
      <c r="L28" s="96"/>
      <c r="M28" s="99" t="n">
        <f aca="false">SUM(F19)</f>
        <v>0</v>
      </c>
    </row>
    <row r="29" customFormat="false" ht="15" hidden="false" customHeight="true" outlineLevel="0" collapsed="false">
      <c r="B29" s="114"/>
      <c r="C29" s="115"/>
      <c r="D29" s="116"/>
      <c r="E29" s="116"/>
      <c r="F29" s="117"/>
      <c r="G29" s="115"/>
      <c r="H29" s="118"/>
      <c r="J29" s="96" t="s">
        <v>280</v>
      </c>
      <c r="K29" s="96"/>
      <c r="L29" s="96"/>
      <c r="M29" s="99"/>
    </row>
    <row r="30" customFormat="false" ht="15" hidden="false" customHeight="true" outlineLevel="0" collapsed="false">
      <c r="J30" s="96" t="s">
        <v>281</v>
      </c>
      <c r="K30" s="96"/>
      <c r="L30" s="96"/>
      <c r="M30" s="99"/>
    </row>
    <row r="31" customFormat="false" ht="15" hidden="false" customHeight="true" outlineLevel="0" collapsed="false">
      <c r="J31" s="96" t="s">
        <v>282</v>
      </c>
      <c r="K31" s="96"/>
      <c r="L31" s="96"/>
      <c r="M31" s="99"/>
    </row>
    <row r="32" customFormat="false" ht="15" hidden="false" customHeight="true" outlineLevel="0" collapsed="false">
      <c r="J32" s="96" t="s">
        <v>283</v>
      </c>
      <c r="K32" s="96"/>
      <c r="L32" s="96"/>
      <c r="M32" s="99"/>
    </row>
    <row r="33" customFormat="false" ht="15" hidden="false" customHeight="true" outlineLevel="0" collapsed="false">
      <c r="J33" s="96" t="s">
        <v>284</v>
      </c>
      <c r="K33" s="96"/>
      <c r="L33" s="96"/>
      <c r="M33" s="99"/>
    </row>
    <row r="364" customFormat="false" ht="15" hidden="false" customHeight="true" outlineLevel="0" collapsed="false">
      <c r="B364" s="77"/>
      <c r="C364" s="77"/>
      <c r="F364" s="77"/>
      <c r="H364" s="77"/>
    </row>
    <row r="365" customFormat="false" ht="15" hidden="false" customHeight="true" outlineLevel="0" collapsed="false">
      <c r="B365" s="77"/>
      <c r="C365" s="77"/>
      <c r="F365" s="77"/>
      <c r="H365" s="77"/>
    </row>
    <row r="366" customFormat="false" ht="15" hidden="false" customHeight="true" outlineLevel="0" collapsed="false">
      <c r="B366" s="77"/>
      <c r="C366" s="77"/>
      <c r="F366" s="77"/>
      <c r="H366" s="77"/>
    </row>
    <row r="367" customFormat="false" ht="15" hidden="false" customHeight="true" outlineLevel="0" collapsed="false">
      <c r="B367" s="77"/>
      <c r="C367" s="77"/>
      <c r="F367" s="77"/>
      <c r="H367" s="77"/>
    </row>
    <row r="368" customFormat="false" ht="15" hidden="false" customHeight="true" outlineLevel="0" collapsed="false">
      <c r="B368" s="77"/>
      <c r="C368" s="77"/>
      <c r="F368" s="77"/>
      <c r="H368" s="77"/>
    </row>
    <row r="369" customFormat="false" ht="15" hidden="false" customHeight="true" outlineLevel="0" collapsed="false">
      <c r="B369" s="77"/>
      <c r="C369" s="77"/>
      <c r="F369" s="77"/>
      <c r="H369" s="77"/>
    </row>
    <row r="370" customFormat="false" ht="15" hidden="false" customHeight="true" outlineLevel="0" collapsed="false">
      <c r="B370" s="77"/>
      <c r="C370" s="77"/>
      <c r="F370" s="77"/>
      <c r="H370" s="77"/>
    </row>
    <row r="371" customFormat="false" ht="15" hidden="false" customHeight="true" outlineLevel="0" collapsed="false">
      <c r="B371" s="77"/>
      <c r="C371" s="77"/>
      <c r="F371" s="77"/>
      <c r="H371" s="77"/>
    </row>
    <row r="372" customFormat="false" ht="15" hidden="false" customHeight="true" outlineLevel="0" collapsed="false">
      <c r="B372" s="77"/>
      <c r="C372" s="77"/>
      <c r="F372" s="77"/>
      <c r="H372" s="77"/>
    </row>
    <row r="373" customFormat="false" ht="15" hidden="false" customHeight="true" outlineLevel="0" collapsed="false">
      <c r="B373" s="77"/>
      <c r="C373" s="77"/>
      <c r="F373" s="77"/>
      <c r="H373" s="77"/>
    </row>
    <row r="374" customFormat="false" ht="15" hidden="false" customHeight="true" outlineLevel="0" collapsed="false">
      <c r="B374" s="77"/>
      <c r="C374" s="77"/>
      <c r="F374" s="77"/>
      <c r="H374" s="77"/>
    </row>
    <row r="375" customFormat="false" ht="15" hidden="false" customHeight="true" outlineLevel="0" collapsed="false">
      <c r="B375" s="77"/>
      <c r="C375" s="77"/>
      <c r="F375" s="77"/>
      <c r="H375" s="77"/>
    </row>
    <row r="376" customFormat="false" ht="15" hidden="false" customHeight="true" outlineLevel="0" collapsed="false">
      <c r="B376" s="77"/>
      <c r="C376" s="77"/>
      <c r="F376" s="77"/>
      <c r="H376" s="77"/>
    </row>
    <row r="377" customFormat="false" ht="15" hidden="false" customHeight="true" outlineLevel="0" collapsed="false">
      <c r="B377" s="77"/>
      <c r="C377" s="77"/>
      <c r="F377" s="77"/>
      <c r="H377" s="77"/>
    </row>
    <row r="378" customFormat="false" ht="15" hidden="false" customHeight="true" outlineLevel="0" collapsed="false">
      <c r="B378" s="77"/>
      <c r="C378" s="77"/>
      <c r="F378" s="77"/>
      <c r="H378" s="77"/>
    </row>
    <row r="379" customFormat="false" ht="15" hidden="false" customHeight="true" outlineLevel="0" collapsed="false">
      <c r="B379" s="77"/>
      <c r="C379" s="77"/>
      <c r="F379" s="77"/>
      <c r="H379" s="77"/>
    </row>
    <row r="380" customFormat="false" ht="15" hidden="false" customHeight="true" outlineLevel="0" collapsed="false">
      <c r="B380" s="77"/>
      <c r="C380" s="77"/>
      <c r="F380" s="77"/>
      <c r="H380" s="77"/>
    </row>
    <row r="381" customFormat="false" ht="15" hidden="false" customHeight="true" outlineLevel="0" collapsed="false">
      <c r="B381" s="77"/>
      <c r="C381" s="77"/>
      <c r="F381" s="77"/>
      <c r="H381" s="77"/>
    </row>
    <row r="382" customFormat="false" ht="15" hidden="false" customHeight="true" outlineLevel="0" collapsed="false">
      <c r="B382" s="77"/>
      <c r="C382" s="77"/>
      <c r="F382" s="77"/>
      <c r="H382" s="77"/>
    </row>
    <row r="383" customFormat="false" ht="15" hidden="false" customHeight="true" outlineLevel="0" collapsed="false">
      <c r="B383" s="77"/>
      <c r="C383" s="77"/>
      <c r="F383" s="77"/>
      <c r="H383" s="77"/>
    </row>
    <row r="384" customFormat="false" ht="15" hidden="false" customHeight="true" outlineLevel="0" collapsed="false">
      <c r="B384" s="77"/>
      <c r="C384" s="77"/>
      <c r="F384" s="77"/>
      <c r="H384" s="77"/>
    </row>
    <row r="385" customFormat="false" ht="15" hidden="false" customHeight="true" outlineLevel="0" collapsed="false">
      <c r="B385" s="77"/>
      <c r="C385" s="77"/>
      <c r="F385" s="77"/>
      <c r="H385" s="77"/>
    </row>
    <row r="386" customFormat="false" ht="15" hidden="false" customHeight="true" outlineLevel="0" collapsed="false">
      <c r="B386" s="77"/>
      <c r="C386" s="77"/>
      <c r="F386" s="77"/>
      <c r="H386" s="77"/>
    </row>
    <row r="387" customFormat="false" ht="15" hidden="false" customHeight="true" outlineLevel="0" collapsed="false">
      <c r="B387" s="77"/>
      <c r="C387" s="77"/>
      <c r="F387" s="77"/>
      <c r="H387" s="77"/>
    </row>
    <row r="388" customFormat="false" ht="15" hidden="false" customHeight="true" outlineLevel="0" collapsed="false">
      <c r="B388" s="77"/>
      <c r="C388" s="77"/>
      <c r="F388" s="77"/>
      <c r="H388" s="77"/>
    </row>
    <row r="389" customFormat="false" ht="15" hidden="false" customHeight="true" outlineLevel="0" collapsed="false">
      <c r="B389" s="77"/>
      <c r="C389" s="77"/>
      <c r="F389" s="77"/>
      <c r="H389" s="77"/>
    </row>
    <row r="390" customFormat="false" ht="15" hidden="false" customHeight="true" outlineLevel="0" collapsed="false">
      <c r="B390" s="77"/>
      <c r="C390" s="77"/>
      <c r="F390" s="77"/>
      <c r="H390" s="77"/>
    </row>
    <row r="391" customFormat="false" ht="15" hidden="false" customHeight="true" outlineLevel="0" collapsed="false">
      <c r="B391" s="77"/>
      <c r="C391" s="77"/>
      <c r="F391" s="77"/>
      <c r="H391" s="77"/>
    </row>
    <row r="392" customFormat="false" ht="15" hidden="false" customHeight="true" outlineLevel="0" collapsed="false">
      <c r="B392" s="77"/>
      <c r="C392" s="77"/>
      <c r="F392" s="77"/>
      <c r="H392" s="77"/>
    </row>
    <row r="393" customFormat="false" ht="15" hidden="false" customHeight="true" outlineLevel="0" collapsed="false">
      <c r="B393" s="77"/>
      <c r="C393" s="77"/>
      <c r="F393" s="77"/>
      <c r="H393" s="77"/>
    </row>
    <row r="394" customFormat="false" ht="15" hidden="false" customHeight="true" outlineLevel="0" collapsed="false">
      <c r="B394" s="77"/>
      <c r="C394" s="77"/>
      <c r="F394" s="77"/>
      <c r="H394" s="77"/>
    </row>
    <row r="395" customFormat="false" ht="15" hidden="false" customHeight="true" outlineLevel="0" collapsed="false">
      <c r="B395" s="77"/>
      <c r="C395" s="77"/>
      <c r="F395" s="77"/>
      <c r="H395" s="77"/>
    </row>
    <row r="396" customFormat="false" ht="15" hidden="false" customHeight="true" outlineLevel="0" collapsed="false">
      <c r="B396" s="77"/>
      <c r="C396" s="77"/>
      <c r="F396" s="77"/>
      <c r="H396" s="77"/>
    </row>
    <row r="397" customFormat="false" ht="15" hidden="false" customHeight="true" outlineLevel="0" collapsed="false">
      <c r="B397" s="77"/>
      <c r="C397" s="77"/>
      <c r="F397" s="77"/>
      <c r="H397" s="77"/>
    </row>
    <row r="398" customFormat="false" ht="15" hidden="false" customHeight="true" outlineLevel="0" collapsed="false">
      <c r="B398" s="77"/>
      <c r="C398" s="77"/>
      <c r="F398" s="77"/>
      <c r="H398" s="77"/>
    </row>
    <row r="399" customFormat="false" ht="15" hidden="false" customHeight="true" outlineLevel="0" collapsed="false">
      <c r="B399" s="77"/>
      <c r="C399" s="77"/>
      <c r="F399" s="77"/>
      <c r="H399" s="77"/>
    </row>
    <row r="400" customFormat="false" ht="15" hidden="false" customHeight="true" outlineLevel="0" collapsed="false">
      <c r="B400" s="77"/>
      <c r="C400" s="77"/>
      <c r="F400" s="77"/>
      <c r="H400" s="77"/>
    </row>
    <row r="401" customFormat="false" ht="15" hidden="false" customHeight="true" outlineLevel="0" collapsed="false">
      <c r="B401" s="77"/>
      <c r="C401" s="77"/>
      <c r="F401" s="77"/>
      <c r="H401" s="77"/>
    </row>
    <row r="402" customFormat="false" ht="15" hidden="false" customHeight="true" outlineLevel="0" collapsed="false">
      <c r="B402" s="77"/>
      <c r="C402" s="77"/>
      <c r="F402" s="77"/>
      <c r="H402" s="77"/>
    </row>
    <row r="403" customFormat="false" ht="15" hidden="false" customHeight="true" outlineLevel="0" collapsed="false">
      <c r="B403" s="77"/>
      <c r="C403" s="77"/>
      <c r="F403" s="77"/>
      <c r="H403" s="77"/>
    </row>
    <row r="404" customFormat="false" ht="15" hidden="false" customHeight="true" outlineLevel="0" collapsed="false">
      <c r="B404" s="77"/>
      <c r="C404" s="77"/>
      <c r="F404" s="77"/>
      <c r="H404" s="77"/>
    </row>
    <row r="405" customFormat="false" ht="15" hidden="false" customHeight="true" outlineLevel="0" collapsed="false">
      <c r="B405" s="77"/>
      <c r="C405" s="77"/>
      <c r="F405" s="77"/>
      <c r="H405" s="77"/>
    </row>
    <row r="406" customFormat="false" ht="15" hidden="false" customHeight="true" outlineLevel="0" collapsed="false">
      <c r="B406" s="77"/>
      <c r="C406" s="77"/>
      <c r="F406" s="77"/>
      <c r="H406" s="77"/>
    </row>
    <row r="407" customFormat="false" ht="15" hidden="false" customHeight="true" outlineLevel="0" collapsed="false">
      <c r="B407" s="77"/>
      <c r="C407" s="77"/>
      <c r="F407" s="77"/>
      <c r="H407" s="77"/>
    </row>
    <row r="408" customFormat="false" ht="15" hidden="false" customHeight="true" outlineLevel="0" collapsed="false">
      <c r="B408" s="77"/>
      <c r="C408" s="77"/>
      <c r="F408" s="77"/>
      <c r="H408" s="77"/>
    </row>
    <row r="409" customFormat="false" ht="15" hidden="false" customHeight="true" outlineLevel="0" collapsed="false">
      <c r="B409" s="77"/>
      <c r="C409" s="77"/>
      <c r="F409" s="77"/>
      <c r="H409" s="77"/>
    </row>
    <row r="410" customFormat="false" ht="15" hidden="false" customHeight="true" outlineLevel="0" collapsed="false">
      <c r="B410" s="77"/>
      <c r="C410" s="77"/>
      <c r="F410" s="77"/>
      <c r="H410" s="77"/>
    </row>
    <row r="411" customFormat="false" ht="15" hidden="false" customHeight="true" outlineLevel="0" collapsed="false">
      <c r="B411" s="77"/>
      <c r="C411" s="77"/>
      <c r="F411" s="77"/>
      <c r="H411" s="77"/>
    </row>
    <row r="412" customFormat="false" ht="15" hidden="false" customHeight="true" outlineLevel="0" collapsed="false">
      <c r="B412" s="77"/>
      <c r="C412" s="77"/>
      <c r="F412" s="77"/>
      <c r="H412" s="77"/>
    </row>
    <row r="413" customFormat="false" ht="15" hidden="false" customHeight="true" outlineLevel="0" collapsed="false">
      <c r="B413" s="77"/>
      <c r="C413" s="77"/>
      <c r="F413" s="77"/>
      <c r="H413" s="77"/>
    </row>
    <row r="414" customFormat="false" ht="15" hidden="false" customHeight="true" outlineLevel="0" collapsed="false">
      <c r="B414" s="77"/>
      <c r="C414" s="77"/>
      <c r="F414" s="77"/>
      <c r="H414" s="77"/>
    </row>
    <row r="415" customFormat="false" ht="15" hidden="false" customHeight="true" outlineLevel="0" collapsed="false">
      <c r="B415" s="77"/>
      <c r="C415" s="77"/>
      <c r="F415" s="77"/>
      <c r="H415" s="77"/>
    </row>
    <row r="416" customFormat="false" ht="15" hidden="false" customHeight="true" outlineLevel="0" collapsed="false">
      <c r="B416" s="77"/>
      <c r="C416" s="77"/>
      <c r="F416" s="77"/>
      <c r="H416" s="77"/>
    </row>
    <row r="417" customFormat="false" ht="15" hidden="false" customHeight="true" outlineLevel="0" collapsed="false">
      <c r="B417" s="77"/>
      <c r="C417" s="77"/>
      <c r="F417" s="77"/>
      <c r="H417" s="77"/>
    </row>
    <row r="418" customFormat="false" ht="15" hidden="false" customHeight="true" outlineLevel="0" collapsed="false">
      <c r="B418" s="77"/>
      <c r="C418" s="77"/>
      <c r="F418" s="77"/>
      <c r="H418" s="77"/>
    </row>
    <row r="419" customFormat="false" ht="15" hidden="false" customHeight="true" outlineLevel="0" collapsed="false">
      <c r="B419" s="77"/>
      <c r="C419" s="77"/>
      <c r="F419" s="77"/>
      <c r="H419" s="77"/>
    </row>
    <row r="420" customFormat="false" ht="15" hidden="false" customHeight="true" outlineLevel="0" collapsed="false">
      <c r="B420" s="77"/>
      <c r="C420" s="77"/>
      <c r="F420" s="77"/>
      <c r="H420" s="77"/>
    </row>
    <row r="421" customFormat="false" ht="15" hidden="false" customHeight="true" outlineLevel="0" collapsed="false">
      <c r="B421" s="77"/>
      <c r="C421" s="77"/>
      <c r="F421" s="77"/>
      <c r="H421" s="77"/>
    </row>
    <row r="422" customFormat="false" ht="15" hidden="false" customHeight="true" outlineLevel="0" collapsed="false">
      <c r="B422" s="77"/>
      <c r="C422" s="77"/>
      <c r="F422" s="77"/>
      <c r="H422" s="77"/>
    </row>
    <row r="423" customFormat="false" ht="15" hidden="false" customHeight="true" outlineLevel="0" collapsed="false">
      <c r="B423" s="77"/>
      <c r="C423" s="77"/>
      <c r="F423" s="77"/>
      <c r="H423" s="77"/>
    </row>
    <row r="424" customFormat="false" ht="15" hidden="false" customHeight="true" outlineLevel="0" collapsed="false">
      <c r="B424" s="77"/>
      <c r="C424" s="77"/>
      <c r="F424" s="77"/>
      <c r="H424" s="77"/>
    </row>
    <row r="425" customFormat="false" ht="15" hidden="false" customHeight="true" outlineLevel="0" collapsed="false">
      <c r="B425" s="77"/>
      <c r="C425" s="77"/>
      <c r="F425" s="77"/>
      <c r="H425" s="77"/>
    </row>
    <row r="426" customFormat="false" ht="15" hidden="false" customHeight="true" outlineLevel="0" collapsed="false">
      <c r="B426" s="77"/>
      <c r="C426" s="77"/>
      <c r="F426" s="77"/>
      <c r="H426" s="77"/>
    </row>
    <row r="427" customFormat="false" ht="15" hidden="false" customHeight="true" outlineLevel="0" collapsed="false">
      <c r="B427" s="77"/>
      <c r="C427" s="77"/>
      <c r="F427" s="77"/>
      <c r="H427" s="77"/>
    </row>
    <row r="428" customFormat="false" ht="15" hidden="false" customHeight="true" outlineLevel="0" collapsed="false">
      <c r="B428" s="77"/>
      <c r="C428" s="77"/>
      <c r="F428" s="77"/>
      <c r="H428" s="77"/>
    </row>
    <row r="429" customFormat="false" ht="15" hidden="false" customHeight="true" outlineLevel="0" collapsed="false">
      <c r="B429" s="77"/>
      <c r="C429" s="77"/>
      <c r="F429" s="77"/>
      <c r="H429" s="77"/>
    </row>
    <row r="430" customFormat="false" ht="15" hidden="false" customHeight="true" outlineLevel="0" collapsed="false">
      <c r="B430" s="77"/>
      <c r="C430" s="77"/>
      <c r="F430" s="77"/>
      <c r="H430" s="77"/>
    </row>
    <row r="431" customFormat="false" ht="15" hidden="false" customHeight="true" outlineLevel="0" collapsed="false">
      <c r="B431" s="77"/>
      <c r="C431" s="77"/>
      <c r="F431" s="77"/>
      <c r="H431" s="77"/>
    </row>
    <row r="432" customFormat="false" ht="15" hidden="false" customHeight="true" outlineLevel="0" collapsed="false">
      <c r="B432" s="77"/>
      <c r="C432" s="77"/>
      <c r="F432" s="77"/>
      <c r="H432" s="77"/>
    </row>
    <row r="433" customFormat="false" ht="15" hidden="false" customHeight="true" outlineLevel="0" collapsed="false">
      <c r="B433" s="77"/>
      <c r="C433" s="77"/>
      <c r="F433" s="77"/>
      <c r="H433" s="77"/>
    </row>
    <row r="434" customFormat="false" ht="15" hidden="false" customHeight="true" outlineLevel="0" collapsed="false">
      <c r="B434" s="77"/>
      <c r="C434" s="77"/>
      <c r="F434" s="77"/>
      <c r="H434" s="77"/>
    </row>
    <row r="435" customFormat="false" ht="15" hidden="false" customHeight="true" outlineLevel="0" collapsed="false">
      <c r="B435" s="77"/>
      <c r="C435" s="77"/>
      <c r="F435" s="77"/>
      <c r="H435" s="77"/>
    </row>
    <row r="436" customFormat="false" ht="15" hidden="false" customHeight="true" outlineLevel="0" collapsed="false">
      <c r="B436" s="77"/>
      <c r="C436" s="77"/>
      <c r="F436" s="77"/>
      <c r="H436" s="77"/>
    </row>
    <row r="437" customFormat="false" ht="15" hidden="false" customHeight="true" outlineLevel="0" collapsed="false">
      <c r="B437" s="77"/>
      <c r="C437" s="77"/>
      <c r="F437" s="77"/>
      <c r="H437" s="77"/>
    </row>
    <row r="438" customFormat="false" ht="15" hidden="false" customHeight="true" outlineLevel="0" collapsed="false">
      <c r="B438" s="77"/>
      <c r="C438" s="77"/>
      <c r="F438" s="77"/>
      <c r="H438" s="77"/>
    </row>
    <row r="439" customFormat="false" ht="15" hidden="false" customHeight="true" outlineLevel="0" collapsed="false">
      <c r="B439" s="77"/>
      <c r="C439" s="77"/>
      <c r="F439" s="77"/>
      <c r="H439" s="77"/>
    </row>
    <row r="440" customFormat="false" ht="15" hidden="false" customHeight="true" outlineLevel="0" collapsed="false">
      <c r="B440" s="77"/>
      <c r="C440" s="77"/>
      <c r="F440" s="77"/>
      <c r="H440" s="77"/>
    </row>
    <row r="441" customFormat="false" ht="15" hidden="false" customHeight="true" outlineLevel="0" collapsed="false">
      <c r="B441" s="77"/>
      <c r="C441" s="77"/>
      <c r="F441" s="77"/>
      <c r="H441" s="77"/>
    </row>
    <row r="442" customFormat="false" ht="15" hidden="false" customHeight="true" outlineLevel="0" collapsed="false">
      <c r="B442" s="77"/>
      <c r="C442" s="77"/>
      <c r="F442" s="77"/>
      <c r="H442" s="77"/>
    </row>
    <row r="443" customFormat="false" ht="15" hidden="false" customHeight="true" outlineLevel="0" collapsed="false">
      <c r="B443" s="77"/>
      <c r="C443" s="77"/>
      <c r="F443" s="77"/>
      <c r="H443" s="77"/>
    </row>
    <row r="444" customFormat="false" ht="15" hidden="false" customHeight="true" outlineLevel="0" collapsed="false">
      <c r="B444" s="77"/>
      <c r="C444" s="77"/>
      <c r="F444" s="77"/>
      <c r="H444" s="77"/>
    </row>
    <row r="445" customFormat="false" ht="15" hidden="false" customHeight="true" outlineLevel="0" collapsed="false">
      <c r="B445" s="77"/>
      <c r="C445" s="77"/>
      <c r="F445" s="77"/>
      <c r="H445" s="77"/>
    </row>
    <row r="446" customFormat="false" ht="15" hidden="false" customHeight="true" outlineLevel="0" collapsed="false">
      <c r="B446" s="77"/>
      <c r="C446" s="77"/>
      <c r="F446" s="77"/>
      <c r="H446" s="77"/>
    </row>
    <row r="447" customFormat="false" ht="15" hidden="false" customHeight="true" outlineLevel="0" collapsed="false">
      <c r="B447" s="77"/>
      <c r="C447" s="77"/>
      <c r="F447" s="77"/>
      <c r="H447" s="77"/>
    </row>
    <row r="448" customFormat="false" ht="15" hidden="false" customHeight="true" outlineLevel="0" collapsed="false">
      <c r="B448" s="77"/>
      <c r="C448" s="77"/>
      <c r="F448" s="77"/>
      <c r="H448" s="77"/>
    </row>
    <row r="449" customFormat="false" ht="15" hidden="false" customHeight="true" outlineLevel="0" collapsed="false">
      <c r="B449" s="77"/>
      <c r="C449" s="77"/>
      <c r="F449" s="77"/>
      <c r="H449" s="77"/>
    </row>
    <row r="450" customFormat="false" ht="15" hidden="false" customHeight="true" outlineLevel="0" collapsed="false">
      <c r="B450" s="77"/>
      <c r="C450" s="77"/>
      <c r="F450" s="77"/>
      <c r="H450" s="77"/>
    </row>
    <row r="451" customFormat="false" ht="15" hidden="false" customHeight="true" outlineLevel="0" collapsed="false">
      <c r="B451" s="77"/>
      <c r="C451" s="77"/>
      <c r="F451" s="77"/>
      <c r="H451" s="77"/>
    </row>
    <row r="452" customFormat="false" ht="15" hidden="false" customHeight="true" outlineLevel="0" collapsed="false">
      <c r="B452" s="77"/>
      <c r="C452" s="77"/>
      <c r="F452" s="77"/>
      <c r="H452" s="77"/>
    </row>
    <row r="453" customFormat="false" ht="15" hidden="false" customHeight="true" outlineLevel="0" collapsed="false">
      <c r="B453" s="77"/>
      <c r="C453" s="77"/>
      <c r="F453" s="77"/>
      <c r="H453" s="77"/>
    </row>
    <row r="454" customFormat="false" ht="15" hidden="false" customHeight="true" outlineLevel="0" collapsed="false">
      <c r="B454" s="77"/>
      <c r="C454" s="77"/>
      <c r="F454" s="77"/>
      <c r="H454" s="77"/>
    </row>
    <row r="455" customFormat="false" ht="15" hidden="false" customHeight="true" outlineLevel="0" collapsed="false">
      <c r="B455" s="77"/>
      <c r="C455" s="77"/>
      <c r="F455" s="77"/>
      <c r="H455" s="77"/>
    </row>
    <row r="456" customFormat="false" ht="15" hidden="false" customHeight="true" outlineLevel="0" collapsed="false">
      <c r="B456" s="77"/>
      <c r="C456" s="77"/>
      <c r="F456" s="77"/>
      <c r="H456" s="77"/>
    </row>
    <row r="457" customFormat="false" ht="15" hidden="false" customHeight="true" outlineLevel="0" collapsed="false">
      <c r="B457" s="77"/>
      <c r="C457" s="77"/>
      <c r="F457" s="77"/>
      <c r="H457" s="77"/>
    </row>
    <row r="458" customFormat="false" ht="15" hidden="false" customHeight="true" outlineLevel="0" collapsed="false">
      <c r="B458" s="77"/>
      <c r="C458" s="77"/>
      <c r="F458" s="77"/>
      <c r="H458" s="77"/>
    </row>
    <row r="459" customFormat="false" ht="15" hidden="false" customHeight="true" outlineLevel="0" collapsed="false">
      <c r="B459" s="77"/>
      <c r="C459" s="77"/>
      <c r="F459" s="77"/>
      <c r="H459" s="77"/>
    </row>
    <row r="460" customFormat="false" ht="15" hidden="false" customHeight="true" outlineLevel="0" collapsed="false">
      <c r="B460" s="77"/>
      <c r="C460" s="77"/>
      <c r="F460" s="77"/>
      <c r="H460" s="77"/>
    </row>
    <row r="461" customFormat="false" ht="15" hidden="false" customHeight="true" outlineLevel="0" collapsed="false">
      <c r="B461" s="77"/>
      <c r="C461" s="77"/>
      <c r="F461" s="77"/>
      <c r="H461" s="77"/>
    </row>
    <row r="462" customFormat="false" ht="15" hidden="false" customHeight="true" outlineLevel="0" collapsed="false">
      <c r="B462" s="77"/>
      <c r="C462" s="77"/>
      <c r="F462" s="77"/>
      <c r="H462" s="77"/>
    </row>
    <row r="463" customFormat="false" ht="15" hidden="false" customHeight="true" outlineLevel="0" collapsed="false">
      <c r="B463" s="77"/>
      <c r="C463" s="77"/>
      <c r="F463" s="77"/>
      <c r="H463" s="77"/>
    </row>
    <row r="464" customFormat="false" ht="15" hidden="false" customHeight="true" outlineLevel="0" collapsed="false">
      <c r="B464" s="77"/>
      <c r="C464" s="77"/>
      <c r="F464" s="77"/>
      <c r="H464" s="77"/>
    </row>
    <row r="465" customFormat="false" ht="15" hidden="false" customHeight="true" outlineLevel="0" collapsed="false">
      <c r="B465" s="77"/>
      <c r="C465" s="77"/>
      <c r="F465" s="77"/>
      <c r="H465" s="77"/>
    </row>
    <row r="466" customFormat="false" ht="15" hidden="false" customHeight="true" outlineLevel="0" collapsed="false">
      <c r="B466" s="77"/>
      <c r="C466" s="77"/>
      <c r="F466" s="77"/>
      <c r="H466" s="77"/>
    </row>
    <row r="467" customFormat="false" ht="15" hidden="false" customHeight="true" outlineLevel="0" collapsed="false">
      <c r="B467" s="77"/>
      <c r="C467" s="77"/>
      <c r="F467" s="77"/>
      <c r="H467" s="77"/>
    </row>
    <row r="468" customFormat="false" ht="15" hidden="false" customHeight="true" outlineLevel="0" collapsed="false">
      <c r="B468" s="77"/>
      <c r="C468" s="77"/>
      <c r="F468" s="77"/>
      <c r="H468" s="77"/>
    </row>
    <row r="469" customFormat="false" ht="15" hidden="false" customHeight="true" outlineLevel="0" collapsed="false">
      <c r="B469" s="77"/>
      <c r="C469" s="77"/>
      <c r="F469" s="77"/>
      <c r="H469" s="77"/>
    </row>
    <row r="470" customFormat="false" ht="15" hidden="false" customHeight="true" outlineLevel="0" collapsed="false">
      <c r="B470" s="77"/>
      <c r="C470" s="77"/>
      <c r="F470" s="77"/>
      <c r="H470" s="77"/>
    </row>
    <row r="471" customFormat="false" ht="15" hidden="false" customHeight="true" outlineLevel="0" collapsed="false">
      <c r="B471" s="77"/>
      <c r="C471" s="77"/>
      <c r="F471" s="77"/>
      <c r="H471" s="77"/>
    </row>
    <row r="472" customFormat="false" ht="15" hidden="false" customHeight="true" outlineLevel="0" collapsed="false">
      <c r="B472" s="77"/>
      <c r="C472" s="77"/>
      <c r="F472" s="77"/>
      <c r="H472" s="77"/>
    </row>
    <row r="473" customFormat="false" ht="15" hidden="false" customHeight="true" outlineLevel="0" collapsed="false">
      <c r="B473" s="77"/>
      <c r="C473" s="77"/>
      <c r="F473" s="77"/>
      <c r="H473" s="77"/>
    </row>
    <row r="474" customFormat="false" ht="15" hidden="false" customHeight="true" outlineLevel="0" collapsed="false">
      <c r="B474" s="77"/>
      <c r="C474" s="77"/>
      <c r="F474" s="77"/>
      <c r="H474" s="77"/>
    </row>
    <row r="475" customFormat="false" ht="15" hidden="false" customHeight="true" outlineLevel="0" collapsed="false">
      <c r="B475" s="77"/>
      <c r="C475" s="77"/>
      <c r="F475" s="77"/>
      <c r="H475" s="77"/>
    </row>
    <row r="476" customFormat="false" ht="15" hidden="false" customHeight="true" outlineLevel="0" collapsed="false">
      <c r="B476" s="77"/>
      <c r="C476" s="77"/>
      <c r="F476" s="77"/>
      <c r="H476" s="77"/>
    </row>
    <row r="477" customFormat="false" ht="15" hidden="false" customHeight="true" outlineLevel="0" collapsed="false">
      <c r="B477" s="77"/>
      <c r="C477" s="77"/>
      <c r="F477" s="77"/>
      <c r="H477" s="77"/>
    </row>
    <row r="478" customFormat="false" ht="15" hidden="false" customHeight="true" outlineLevel="0" collapsed="false">
      <c r="B478" s="77"/>
      <c r="C478" s="77"/>
      <c r="F478" s="77"/>
      <c r="H478" s="77"/>
    </row>
    <row r="479" customFormat="false" ht="15" hidden="false" customHeight="true" outlineLevel="0" collapsed="false">
      <c r="B479" s="77"/>
      <c r="C479" s="77"/>
      <c r="F479" s="77"/>
      <c r="H479" s="77"/>
    </row>
    <row r="480" customFormat="false" ht="15" hidden="false" customHeight="true" outlineLevel="0" collapsed="false">
      <c r="B480" s="77"/>
      <c r="C480" s="77"/>
      <c r="F480" s="77"/>
      <c r="H480" s="77"/>
    </row>
    <row r="481" customFormat="false" ht="15" hidden="false" customHeight="true" outlineLevel="0" collapsed="false">
      <c r="B481" s="77"/>
      <c r="C481" s="77"/>
      <c r="F481" s="77"/>
      <c r="H481" s="77"/>
    </row>
    <row r="482" customFormat="false" ht="15" hidden="false" customHeight="true" outlineLevel="0" collapsed="false">
      <c r="B482" s="77"/>
      <c r="C482" s="77"/>
      <c r="F482" s="77"/>
      <c r="H482" s="77"/>
    </row>
    <row r="483" customFormat="false" ht="15" hidden="false" customHeight="true" outlineLevel="0" collapsed="false">
      <c r="B483" s="77"/>
      <c r="C483" s="77"/>
      <c r="F483" s="77"/>
      <c r="H483" s="77"/>
    </row>
    <row r="484" customFormat="false" ht="15" hidden="false" customHeight="true" outlineLevel="0" collapsed="false">
      <c r="B484" s="77"/>
      <c r="C484" s="77"/>
      <c r="F484" s="77"/>
      <c r="H484" s="77"/>
    </row>
    <row r="485" customFormat="false" ht="15" hidden="false" customHeight="true" outlineLevel="0" collapsed="false">
      <c r="B485" s="77"/>
      <c r="C485" s="77"/>
      <c r="F485" s="77"/>
      <c r="H485" s="77"/>
    </row>
    <row r="486" customFormat="false" ht="15" hidden="false" customHeight="true" outlineLevel="0" collapsed="false">
      <c r="B486" s="77"/>
      <c r="C486" s="77"/>
      <c r="F486" s="77"/>
      <c r="H486" s="77"/>
    </row>
    <row r="487" customFormat="false" ht="15" hidden="false" customHeight="true" outlineLevel="0" collapsed="false">
      <c r="B487" s="77"/>
      <c r="C487" s="77"/>
      <c r="F487" s="77"/>
      <c r="H487" s="77"/>
    </row>
    <row r="488" customFormat="false" ht="15" hidden="false" customHeight="true" outlineLevel="0" collapsed="false">
      <c r="B488" s="77"/>
      <c r="C488" s="77"/>
      <c r="F488" s="77"/>
      <c r="H488" s="77"/>
    </row>
    <row r="489" customFormat="false" ht="15" hidden="false" customHeight="true" outlineLevel="0" collapsed="false">
      <c r="B489" s="77"/>
      <c r="C489" s="77"/>
      <c r="F489" s="77"/>
      <c r="H489" s="77"/>
    </row>
    <row r="490" customFormat="false" ht="15" hidden="false" customHeight="true" outlineLevel="0" collapsed="false">
      <c r="B490" s="77"/>
      <c r="C490" s="77"/>
      <c r="F490" s="77"/>
      <c r="H490" s="77"/>
    </row>
    <row r="491" customFormat="false" ht="15" hidden="false" customHeight="true" outlineLevel="0" collapsed="false">
      <c r="B491" s="77"/>
      <c r="C491" s="77"/>
      <c r="F491" s="77"/>
      <c r="H491" s="77"/>
    </row>
    <row r="492" customFormat="false" ht="15" hidden="false" customHeight="true" outlineLevel="0" collapsed="false">
      <c r="B492" s="77"/>
      <c r="C492" s="77"/>
      <c r="F492" s="77"/>
      <c r="H492" s="77"/>
    </row>
    <row r="493" customFormat="false" ht="15" hidden="false" customHeight="true" outlineLevel="0" collapsed="false">
      <c r="B493" s="77"/>
      <c r="C493" s="77"/>
      <c r="F493" s="77"/>
      <c r="H493" s="77"/>
    </row>
    <row r="494" customFormat="false" ht="15" hidden="false" customHeight="true" outlineLevel="0" collapsed="false">
      <c r="B494" s="77"/>
      <c r="C494" s="77"/>
      <c r="F494" s="77"/>
      <c r="H494" s="77"/>
    </row>
    <row r="495" customFormat="false" ht="15" hidden="false" customHeight="true" outlineLevel="0" collapsed="false">
      <c r="B495" s="77"/>
      <c r="C495" s="77"/>
      <c r="H495" s="77"/>
    </row>
    <row r="496" customFormat="false" ht="15" hidden="false" customHeight="true" outlineLevel="0" collapsed="false">
      <c r="B496" s="77"/>
      <c r="C496" s="77"/>
      <c r="H496" s="77"/>
    </row>
    <row r="497" customFormat="false" ht="15" hidden="false" customHeight="true" outlineLevel="0" collapsed="false">
      <c r="B497" s="77"/>
      <c r="C497" s="77"/>
      <c r="H497" s="77"/>
    </row>
    <row r="498" customFormat="false" ht="15" hidden="false" customHeight="true" outlineLevel="0" collapsed="false">
      <c r="B498" s="77"/>
      <c r="C498" s="77"/>
      <c r="H498" s="77"/>
    </row>
    <row r="499" customFormat="false" ht="15" hidden="false" customHeight="true" outlineLevel="0" collapsed="false">
      <c r="B499" s="77"/>
      <c r="C499" s="77"/>
    </row>
    <row r="500" customFormat="false" ht="15" hidden="false" customHeight="true" outlineLevel="0" collapsed="false">
      <c r="B500" s="77"/>
      <c r="C500" s="77"/>
    </row>
  </sheetData>
  <mergeCells count="3">
    <mergeCell ref="B4:H4"/>
    <mergeCell ref="J4:P4"/>
    <mergeCell ref="J19:M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63" width="10.29"/>
    <col collapsed="false" customWidth="true" hidden="false" outlineLevel="0" max="3" min="3" style="63" width="9.71"/>
    <col collapsed="false" customWidth="true" hidden="false" outlineLevel="0" max="4" min="4" style="63" width="13.86"/>
    <col collapsed="false" customWidth="true" hidden="false" outlineLevel="0" max="5" min="5" style="63" width="15.42"/>
    <col collapsed="false" customWidth="true" hidden="false" outlineLevel="0" max="6" min="6" style="63" width="16.57"/>
    <col collapsed="false" customWidth="true" hidden="false" outlineLevel="0" max="7" min="7" style="63" width="17.15"/>
    <col collapsed="false" customWidth="true" hidden="false" outlineLevel="0" max="8" min="8" style="63" width="16.43"/>
    <col collapsed="false" customWidth="true" hidden="false" outlineLevel="0" max="9" min="9" style="63" width="16.14"/>
    <col collapsed="false" customWidth="true" hidden="false" outlineLevel="0" max="10" min="10" style="63" width="16.43"/>
    <col collapsed="false" customWidth="true" hidden="false" outlineLevel="0" max="11" min="11" style="63" width="17.57"/>
    <col collapsed="false" customWidth="true" hidden="false" outlineLevel="0" max="12" min="12" style="63" width="16.84"/>
    <col collapsed="false" customWidth="true" hidden="false" outlineLevel="0" max="13" min="13" style="63" width="17"/>
    <col collapsed="false" customWidth="true" hidden="false" outlineLevel="0" max="14" min="14" style="63" width="16.43"/>
    <col collapsed="false" customWidth="true" hidden="false" outlineLevel="0" max="15" min="15" style="63" width="18"/>
    <col collapsed="false" customWidth="true" hidden="false" outlineLevel="0" max="16" min="16" style="63" width="16.57"/>
    <col collapsed="false" customWidth="true" hidden="false" outlineLevel="0" max="17" min="17" style="63" width="16.84"/>
    <col collapsed="false" customWidth="true" hidden="false" outlineLevel="0" max="18" min="18" style="63" width="13.86"/>
    <col collapsed="false" customWidth="true" hidden="false" outlineLevel="0" max="19" min="19" style="63" width="13.29"/>
    <col collapsed="false" customWidth="true" hidden="false" outlineLevel="0" max="20" min="20" style="63" width="15.14"/>
    <col collapsed="false" customWidth="true" hidden="false" outlineLevel="0" max="21" min="21" style="63" width="14.14"/>
    <col collapsed="false" customWidth="true" hidden="false" outlineLevel="0" max="22" min="22" style="63" width="13.42"/>
    <col collapsed="false" customWidth="true" hidden="false" outlineLevel="0" max="23" min="23" style="63" width="16.84"/>
  </cols>
  <sheetData>
    <row r="1" customFormat="false" ht="15" hidden="false" customHeight="true" outlineLevel="0" collapsed="false">
      <c r="B1" s="78"/>
      <c r="C1" s="78"/>
      <c r="D1" s="78"/>
      <c r="E1" s="78"/>
      <c r="F1" s="78"/>
      <c r="G1" s="78"/>
      <c r="H1" s="78"/>
      <c r="I1" s="78"/>
    </row>
    <row r="3" customFormat="false" ht="15" hidden="false" customHeight="true" outlineLevel="0" collapsed="false">
      <c r="B3" s="84" t="s">
        <v>285</v>
      </c>
      <c r="C3" s="84"/>
      <c r="D3" s="84"/>
      <c r="E3" s="84"/>
      <c r="F3" s="128" t="s">
        <v>269</v>
      </c>
      <c r="G3" s="128" t="s">
        <v>28</v>
      </c>
      <c r="H3" s="128" t="s">
        <v>31</v>
      </c>
      <c r="I3" s="128" t="s">
        <v>34</v>
      </c>
      <c r="J3" s="128" t="s">
        <v>38</v>
      </c>
      <c r="K3" s="128" t="s">
        <v>41</v>
      </c>
      <c r="L3" s="128" t="s">
        <v>43</v>
      </c>
      <c r="M3" s="128" t="s">
        <v>44</v>
      </c>
      <c r="N3" s="128" t="s">
        <v>45</v>
      </c>
      <c r="O3" s="128" t="s">
        <v>46</v>
      </c>
      <c r="P3" s="128" t="s">
        <v>47</v>
      </c>
      <c r="Q3" s="128" t="s">
        <v>48</v>
      </c>
    </row>
    <row r="4" customFormat="false" ht="15" hidden="false" customHeight="true" outlineLevel="0" collapsed="false">
      <c r="B4" s="126" t="s">
        <v>286</v>
      </c>
      <c r="C4" s="126"/>
      <c r="D4" s="129"/>
      <c r="E4" s="126"/>
      <c r="F4" s="130"/>
      <c r="G4" s="130"/>
      <c r="H4" s="130"/>
      <c r="I4" s="130"/>
      <c r="J4" s="130"/>
      <c r="K4" s="131"/>
      <c r="L4" s="131"/>
      <c r="M4" s="131"/>
      <c r="N4" s="131" t="n">
        <f aca="false">N5</f>
        <v>0</v>
      </c>
      <c r="O4" s="131" t="n">
        <f aca="false">O5</f>
        <v>0</v>
      </c>
      <c r="P4" s="131" t="n">
        <f aca="false">P5</f>
        <v>0</v>
      </c>
      <c r="Q4" s="131"/>
    </row>
    <row r="5" customFormat="false" ht="15" hidden="false" customHeight="true" outlineLevel="0" collapsed="false">
      <c r="B5" s="96" t="s">
        <v>287</v>
      </c>
      <c r="C5" s="96"/>
      <c r="D5" s="132"/>
      <c r="E5" s="96"/>
      <c r="F5" s="133"/>
      <c r="G5" s="133"/>
      <c r="H5" s="133"/>
      <c r="I5" s="133"/>
      <c r="J5" s="133"/>
      <c r="K5" s="132"/>
      <c r="L5" s="132"/>
      <c r="M5" s="132"/>
      <c r="N5" s="132" t="n">
        <f aca="false">SUMIFS('Fluxo de Caixa'!F6:F500,'Fluxo de Caixa'!H6:H500,'Fluxo de Caixa'!H189,'Fluxo de Caixa'!D6:D500,'Fluxo de Caixa'!D248)</f>
        <v>0</v>
      </c>
      <c r="O5" s="132" t="n">
        <f aca="false">SUMIFS('Fluxo de Caixa'!F6:F500,'Fluxo de Caixa'!H6:H500,'Fluxo de Caixa'!H241,'Fluxo de Caixa'!D6:D500,'Fluxo de Caixa'!D241)</f>
        <v>0</v>
      </c>
      <c r="P5" s="132"/>
      <c r="Q5" s="132"/>
    </row>
    <row r="6" customFormat="false" ht="15" hidden="false" customHeight="true" outlineLevel="0" collapsed="false">
      <c r="B6" s="96" t="s">
        <v>172</v>
      </c>
      <c r="C6" s="96"/>
      <c r="D6" s="132"/>
      <c r="E6" s="96"/>
      <c r="F6" s="133" t="n">
        <f aca="false">F5-F7</f>
        <v>0</v>
      </c>
      <c r="G6" s="133" t="n">
        <f aca="false">G5-G7</f>
        <v>0</v>
      </c>
      <c r="H6" s="133" t="n">
        <f aca="false">H5-H7</f>
        <v>0</v>
      </c>
      <c r="I6" s="133" t="n">
        <f aca="false">I5-I7</f>
        <v>0</v>
      </c>
      <c r="J6" s="133" t="n">
        <f aca="false">J5-J7</f>
        <v>0</v>
      </c>
      <c r="K6" s="133" t="n">
        <f aca="false">K5-K7</f>
        <v>0</v>
      </c>
      <c r="L6" s="133" t="n">
        <f aca="false">L5-L7</f>
        <v>0</v>
      </c>
      <c r="M6" s="133" t="n">
        <f aca="false">M5-M7</f>
        <v>0</v>
      </c>
      <c r="N6" s="133" t="n">
        <f aca="false">N5-N7</f>
        <v>0</v>
      </c>
      <c r="O6" s="133" t="n">
        <f aca="false">O5-O7</f>
        <v>0</v>
      </c>
      <c r="P6" s="133" t="n">
        <f aca="false">P5-P7</f>
        <v>0</v>
      </c>
      <c r="Q6" s="133" t="n">
        <f aca="false">Q5-Q7</f>
        <v>0</v>
      </c>
    </row>
    <row r="7" customFormat="false" ht="15" hidden="false" customHeight="true" outlineLevel="0" collapsed="false">
      <c r="B7" s="96" t="s">
        <v>288</v>
      </c>
      <c r="C7" s="96"/>
      <c r="D7" s="132"/>
      <c r="E7" s="96"/>
      <c r="F7" s="133"/>
      <c r="G7" s="133"/>
      <c r="H7" s="133"/>
      <c r="I7" s="133"/>
      <c r="J7" s="133"/>
      <c r="K7" s="132"/>
      <c r="L7" s="132"/>
      <c r="M7" s="132"/>
      <c r="N7" s="132"/>
      <c r="O7" s="132"/>
      <c r="P7" s="132" t="n">
        <f aca="false">SUMIFS('Fluxo de Caixa'!F6:F500,'Fluxo de Caixa'!H6:H500,'Fluxo de Caixa'!H292,'Fluxo de Caixa'!D6:D500,'Fluxo de Caixa'!D313)</f>
        <v>0</v>
      </c>
      <c r="Q7" s="132"/>
    </row>
    <row r="8" customFormat="false" ht="15" hidden="false" customHeight="true" outlineLevel="0" collapsed="false">
      <c r="B8" s="96" t="s">
        <v>289</v>
      </c>
      <c r="C8" s="96"/>
      <c r="D8" s="96"/>
      <c r="E8" s="96"/>
      <c r="F8" s="133"/>
      <c r="G8" s="133"/>
      <c r="H8" s="133"/>
      <c r="I8" s="133"/>
      <c r="J8" s="133"/>
      <c r="K8" s="132"/>
      <c r="L8" s="132"/>
      <c r="M8" s="132"/>
      <c r="N8" s="132"/>
      <c r="O8" s="132"/>
      <c r="P8" s="132"/>
      <c r="Q8" s="132"/>
    </row>
    <row r="9" customFormat="false" ht="15" hidden="false" customHeight="true" outlineLevel="0" collapsed="false">
      <c r="B9" s="126" t="s">
        <v>290</v>
      </c>
      <c r="C9" s="126"/>
      <c r="D9" s="126"/>
      <c r="E9" s="126"/>
      <c r="F9" s="130" t="n">
        <f aca="false">F4</f>
        <v>0</v>
      </c>
      <c r="G9" s="130" t="n">
        <f aca="false">G4</f>
        <v>0</v>
      </c>
      <c r="H9" s="130" t="n">
        <f aca="false">H4</f>
        <v>0</v>
      </c>
      <c r="I9" s="130" t="n">
        <f aca="false">I4</f>
        <v>0</v>
      </c>
      <c r="J9" s="130" t="n">
        <f aca="false">J4</f>
        <v>0</v>
      </c>
      <c r="K9" s="131" t="n">
        <f aca="false">K4</f>
        <v>0</v>
      </c>
      <c r="L9" s="131" t="n">
        <f aca="false">L4</f>
        <v>0</v>
      </c>
      <c r="M9" s="131" t="n">
        <f aca="false">M4</f>
        <v>0</v>
      </c>
      <c r="N9" s="131" t="n">
        <f aca="false">N4</f>
        <v>0</v>
      </c>
      <c r="O9" s="131" t="n">
        <f aca="false">O4</f>
        <v>0</v>
      </c>
      <c r="P9" s="131" t="n">
        <f aca="false">P4</f>
        <v>0</v>
      </c>
      <c r="Q9" s="131" t="n">
        <f aca="false">Q4</f>
        <v>0</v>
      </c>
    </row>
    <row r="10" customFormat="false" ht="15" hidden="false" customHeight="true" outlineLevel="0" collapsed="false">
      <c r="B10" s="126" t="s">
        <v>291</v>
      </c>
      <c r="C10" s="126"/>
      <c r="D10" s="126"/>
      <c r="E10" s="126"/>
      <c r="F10" s="134" t="n">
        <f aca="false">-SUM(F11:F16)</f>
        <v>-0</v>
      </c>
      <c r="G10" s="134" t="n">
        <f aca="false">-SUM(G11:G16)</f>
        <v>-0</v>
      </c>
      <c r="H10" s="134" t="n">
        <f aca="false">-SUM(H11:H16)</f>
        <v>-0</v>
      </c>
      <c r="I10" s="130" t="n">
        <f aca="false">-SUM(I11:I16)</f>
        <v>-0</v>
      </c>
      <c r="J10" s="130" t="n">
        <f aca="false">-SUM(J11:J16)</f>
        <v>-0</v>
      </c>
      <c r="K10" s="131" t="n">
        <f aca="false">-SUM(K11:K16)</f>
        <v>-0</v>
      </c>
      <c r="L10" s="131" t="n">
        <f aca="false">-SUM(L11:L16)</f>
        <v>-0</v>
      </c>
      <c r="M10" s="131" t="n">
        <f aca="false">-SUM(M11:M16)</f>
        <v>-0</v>
      </c>
      <c r="N10" s="131" t="n">
        <f aca="false">-SUM(N11:N16)</f>
        <v>-0</v>
      </c>
      <c r="O10" s="131" t="n">
        <f aca="false">-SUM(O11:O16)</f>
        <v>-0</v>
      </c>
      <c r="P10" s="131" t="n">
        <f aca="false">-SUM(P11:P16)</f>
        <v>-0</v>
      </c>
      <c r="Q10" s="131" t="n">
        <f aca="false">-SUM(Q11:Q16)</f>
        <v>-0</v>
      </c>
    </row>
    <row r="11" customFormat="false" ht="15" hidden="false" customHeight="true" outlineLevel="0" collapsed="false">
      <c r="B11" s="96" t="s">
        <v>275</v>
      </c>
      <c r="C11" s="96"/>
      <c r="D11" s="96"/>
      <c r="E11" s="96"/>
      <c r="F11" s="133"/>
      <c r="G11" s="133"/>
      <c r="H11" s="133"/>
      <c r="I11" s="133"/>
      <c r="J11" s="133"/>
      <c r="K11" s="132"/>
      <c r="L11" s="132"/>
      <c r="M11" s="132"/>
      <c r="N11" s="132" t="n">
        <f aca="false">SUMIFS('Fluxo de Caixa'!F6:F500,'Fluxo de Caixa'!H6:H500,'Fluxo de Caixa'!H189,'Fluxo de Caixa'!E6:E500,'Fluxo de Caixa'!E239)</f>
        <v>0</v>
      </c>
      <c r="O11" s="132" t="n">
        <f aca="false">SUMIFS('Fluxo de Caixa'!F6:F500,'Fluxo de Caixa'!H6:H500,'Fluxo de Caixa'!H231,'Fluxo de Caixa'!E6:E500,'Fluxo de Caixa'!E239)</f>
        <v>0</v>
      </c>
      <c r="P11" s="132" t="n">
        <f aca="false">SUMIFS('Fluxo de Caixa'!F6:F500,'Fluxo de Caixa'!H6:H500,'Fluxo de Caixa'!H292,'Fluxo de Caixa'!E6:E500,'Fluxo de Caixa'!E239)</f>
        <v>0</v>
      </c>
      <c r="Q11" s="132"/>
    </row>
    <row r="12" customFormat="false" ht="15" hidden="false" customHeight="true" outlineLevel="0" collapsed="false">
      <c r="B12" s="96" t="s">
        <v>276</v>
      </c>
      <c r="C12" s="96"/>
      <c r="D12" s="96"/>
      <c r="E12" s="96"/>
      <c r="F12" s="133"/>
      <c r="G12" s="133"/>
      <c r="H12" s="133"/>
      <c r="I12" s="133"/>
      <c r="J12" s="133"/>
      <c r="K12" s="132"/>
      <c r="L12" s="132"/>
      <c r="M12" s="132"/>
      <c r="N12" s="132" t="n">
        <f aca="false">SUMIFS('Fluxo de Caixa'!F6:F500,'Fluxo de Caixa'!H6:H500,'Fluxo de Caixa'!H189,'Fluxo de Caixa'!E6:E500,'Fluxo de Caixa'!E249)</f>
        <v>0</v>
      </c>
      <c r="O12" s="132" t="n">
        <f aca="false">SUMIFS('Fluxo de Caixa'!F6:F500,'Fluxo de Caixa'!H6:H500,'Fluxo de Caixa'!H231,'Fluxo de Caixa'!E6:E500,'Fluxo de Caixa'!E249)</f>
        <v>0</v>
      </c>
      <c r="P12" s="132" t="n">
        <f aca="false">SUMIFS('Fluxo de Caixa'!F6:F500,'Fluxo de Caixa'!H6:H500,'Fluxo de Caixa'!H292,'Fluxo de Caixa'!E6:E500,'Fluxo de Caixa'!E249)</f>
        <v>0</v>
      </c>
      <c r="Q12" s="132"/>
    </row>
    <row r="13" customFormat="false" ht="15" hidden="false" customHeight="true" outlineLevel="0" collapsed="false">
      <c r="B13" s="96" t="s">
        <v>248</v>
      </c>
      <c r="C13" s="96"/>
      <c r="D13" s="96"/>
      <c r="E13" s="96"/>
      <c r="F13" s="133"/>
      <c r="G13" s="133"/>
      <c r="H13" s="133"/>
      <c r="I13" s="133"/>
      <c r="J13" s="133"/>
      <c r="K13" s="132"/>
      <c r="L13" s="132"/>
      <c r="M13" s="132"/>
      <c r="N13" s="132" t="n">
        <f aca="false">SUMIFS('Fluxo de Caixa'!F6:F500,'Fluxo de Caixa'!H6:H500,'Fluxo de Caixa'!H189,'Fluxo de Caixa'!E6:E500,'Fluxo de Caixa'!E237)</f>
        <v>0</v>
      </c>
      <c r="O13" s="132" t="n">
        <f aca="false">SUMIFS('Fluxo de Caixa'!F6:F500,'Fluxo de Caixa'!H6:H500,'Fluxo de Caixa'!H231,'Fluxo de Caixa'!E6:E500,'Fluxo de Caixa'!E237)</f>
        <v>0</v>
      </c>
      <c r="P13" s="132" t="n">
        <f aca="false">SUMIFS('Fluxo de Caixa'!F6:F500,'Fluxo de Caixa'!H6:H500,'Fluxo de Caixa'!H292,'Fluxo de Caixa'!E6:E500,'Fluxo de Caixa'!E237)</f>
        <v>0</v>
      </c>
      <c r="Q13" s="132"/>
    </row>
    <row r="14" customFormat="false" ht="15" hidden="false" customHeight="true" outlineLevel="0" collapsed="false">
      <c r="B14" s="96" t="s">
        <v>278</v>
      </c>
      <c r="C14" s="96"/>
      <c r="D14" s="96"/>
      <c r="E14" s="96"/>
      <c r="F14" s="133"/>
      <c r="G14" s="133"/>
      <c r="H14" s="133"/>
      <c r="I14" s="133"/>
      <c r="J14" s="133"/>
      <c r="K14" s="132"/>
      <c r="L14" s="132"/>
      <c r="M14" s="132"/>
      <c r="N14" s="132" t="n">
        <f aca="false">SUMIFS('Fluxo de Caixa'!F6:F500,'Fluxo de Caixa'!H6:H500,'Fluxo de Caixa'!H189,'Fluxo de Caixa'!E6:E500,'Fluxo de Caixa'!E251)</f>
        <v>0</v>
      </c>
      <c r="O14" s="132" t="n">
        <f aca="false">SUMIFS('Fluxo de Caixa'!F6:F500,'Fluxo de Caixa'!H6:H500,'Fluxo de Caixa'!H231,'Fluxo de Caixa'!E6:E500,'Fluxo de Caixa'!E251)</f>
        <v>0</v>
      </c>
      <c r="P14" s="132" t="n">
        <f aca="false">SUMIFS('Fluxo de Caixa'!F6:F500,'Fluxo de Caixa'!H6:H500,'Fluxo de Caixa'!H292,'Fluxo de Caixa'!E6:E500,'Fluxo de Caixa'!E251)</f>
        <v>0</v>
      </c>
      <c r="Q14" s="132"/>
    </row>
    <row r="15" customFormat="false" ht="15" hidden="false" customHeight="true" outlineLevel="0" collapsed="false">
      <c r="B15" s="96" t="s">
        <v>279</v>
      </c>
      <c r="C15" s="96"/>
      <c r="D15" s="96"/>
      <c r="E15" s="96"/>
      <c r="F15" s="133"/>
      <c r="G15" s="133"/>
      <c r="H15" s="133"/>
      <c r="I15" s="133"/>
      <c r="J15" s="133"/>
      <c r="K15" s="132"/>
      <c r="L15" s="132"/>
      <c r="M15" s="132"/>
      <c r="N15" s="132" t="n">
        <f aca="false">SUMIFS('Fluxo de Caixa'!F6:F500,'Fluxo de Caixa'!H6:H500,'Fluxo de Caixa'!H189,'Fluxo de Caixa'!D6:D500,'Fluxo de Caixa'!D234)</f>
        <v>0</v>
      </c>
      <c r="O15" s="132" t="n">
        <f aca="false">SUMIFS('Fluxo de Caixa'!F6:F500,'Fluxo de Caixa'!H6:H500,'Fluxo de Caixa'!H231,'Fluxo de Caixa'!D6:D500,'Fluxo de Caixa'!D234)</f>
        <v>0</v>
      </c>
      <c r="P15" s="132" t="n">
        <f aca="false">SUMIFS('Fluxo de Caixa'!F6:F500,'Fluxo de Caixa'!H6:H500,'Fluxo de Caixa'!H292,'Fluxo de Caixa'!D6:D500,'Fluxo de Caixa'!D234)</f>
        <v>0</v>
      </c>
      <c r="Q15" s="132"/>
    </row>
    <row r="16" customFormat="false" ht="15" hidden="false" customHeight="true" outlineLevel="0" collapsed="false">
      <c r="B16" s="96" t="s">
        <v>280</v>
      </c>
      <c r="C16" s="96"/>
      <c r="D16" s="96"/>
      <c r="E16" s="96"/>
      <c r="F16" s="133"/>
      <c r="G16" s="133"/>
      <c r="H16" s="133"/>
      <c r="I16" s="133"/>
      <c r="J16" s="133"/>
      <c r="K16" s="132"/>
      <c r="L16" s="132"/>
      <c r="M16" s="132"/>
      <c r="N16" s="132" t="n">
        <f aca="false">SUMIFS('Fluxo de Caixa'!F6:F500,'Fluxo de Caixa'!H6:H500,'Fluxo de Caixa'!H189,'Fluxo de Caixa'!D6:D500,'Fluxo de Caixa'!D208)</f>
        <v>0</v>
      </c>
      <c r="O16" s="132" t="n">
        <f aca="false">SUMIFS('Fluxo de Caixa'!F6:F500,'Fluxo de Caixa'!H6:H500,'Fluxo de Caixa'!H231,'Fluxo de Caixa'!D6:D500,'Fluxo de Caixa'!D208)</f>
        <v>0</v>
      </c>
      <c r="P16" s="132" t="n">
        <f aca="false">SUMIFS('Fluxo de Caixa'!F6:F500,'Fluxo de Caixa'!H6:H500,'Fluxo de Caixa'!H292,'Fluxo de Caixa'!D6:D500,'Fluxo de Caixa'!D208)</f>
        <v>0</v>
      </c>
      <c r="Q16" s="132"/>
    </row>
    <row r="17" customFormat="false" ht="15" hidden="false" customHeight="true" outlineLevel="0" collapsed="false">
      <c r="B17" s="126" t="s">
        <v>292</v>
      </c>
      <c r="C17" s="126"/>
      <c r="D17" s="126"/>
      <c r="E17" s="126"/>
      <c r="F17" s="134" t="n">
        <f aca="false">-SUM(F18:F21)</f>
        <v>-0</v>
      </c>
      <c r="G17" s="134" t="n">
        <f aca="false">-SUM(G18:G21)</f>
        <v>-0</v>
      </c>
      <c r="H17" s="134" t="n">
        <f aca="false">-SUM(H18:H21)</f>
        <v>-0</v>
      </c>
      <c r="I17" s="130" t="n">
        <f aca="false">-SUM(I18:I21)</f>
        <v>-0</v>
      </c>
      <c r="J17" s="130" t="n">
        <f aca="false">-SUM(J18:J21)</f>
        <v>-0</v>
      </c>
      <c r="K17" s="131" t="n">
        <f aca="false">-SUM(K18:K21)</f>
        <v>-0</v>
      </c>
      <c r="L17" s="131" t="n">
        <f aca="false">-SUM(L18:L21)</f>
        <v>-0</v>
      </c>
      <c r="M17" s="131" t="n">
        <f aca="false">-SUM(M18:M21)</f>
        <v>-0</v>
      </c>
      <c r="N17" s="131" t="n">
        <f aca="false">-SUM(N18:N21)</f>
        <v>-0</v>
      </c>
      <c r="O17" s="131" t="n">
        <f aca="false">-SUM(O18:O21)</f>
        <v>-0</v>
      </c>
      <c r="P17" s="131" t="n">
        <f aca="false">-SUM(P18:P21)</f>
        <v>-0</v>
      </c>
      <c r="Q17" s="131" t="n">
        <f aca="false">-SUM(Q18:Q21)</f>
        <v>-0</v>
      </c>
    </row>
    <row r="18" customFormat="false" ht="15" hidden="false" customHeight="true" outlineLevel="0" collapsed="false">
      <c r="B18" s="96" t="s">
        <v>281</v>
      </c>
      <c r="C18" s="96"/>
      <c r="D18" s="96"/>
      <c r="E18" s="96"/>
      <c r="F18" s="133"/>
      <c r="G18" s="133"/>
      <c r="H18" s="133"/>
      <c r="I18" s="133"/>
      <c r="J18" s="133"/>
      <c r="K18" s="132"/>
      <c r="L18" s="132"/>
      <c r="M18" s="132"/>
      <c r="N18" s="132" t="n">
        <f aca="false">SUMIFS('Fluxo de Caixa'!F6:F500,'Fluxo de Caixa'!H6:H500,'Fluxo de Caixa'!H189,'Fluxo de Caixa'!D6:D500,'Fluxo de Caixa'!D232)</f>
        <v>0</v>
      </c>
      <c r="O18" s="132" t="n">
        <f aca="false">SUMIFS('Fluxo de Caixa'!F6:F500,'Fluxo de Caixa'!H6:H500,'Fluxo de Caixa'!H231,'Fluxo de Caixa'!D6:D500,'Fluxo de Caixa'!D232)</f>
        <v>0</v>
      </c>
      <c r="P18" s="132" t="n">
        <f aca="false">SUMIFS('Fluxo de Caixa'!F6:F500,'Fluxo de Caixa'!H6:H500,'Fluxo de Caixa'!H292,'Fluxo de Caixa'!D6:D500,'Fluxo de Caixa'!D232)</f>
        <v>0</v>
      </c>
      <c r="Q18" s="132"/>
    </row>
    <row r="19" customFormat="false" ht="15" hidden="false" customHeight="true" outlineLevel="0" collapsed="false">
      <c r="B19" s="96" t="s">
        <v>282</v>
      </c>
      <c r="C19" s="96"/>
      <c r="D19" s="96"/>
      <c r="E19" s="96"/>
      <c r="F19" s="133"/>
      <c r="G19" s="133"/>
      <c r="H19" s="133"/>
      <c r="I19" s="133"/>
      <c r="J19" s="133"/>
      <c r="K19" s="132"/>
      <c r="L19" s="132"/>
      <c r="M19" s="132"/>
      <c r="N19" s="132" t="n">
        <f aca="false">SUMIFS('Fluxo de Caixa'!F6:F500,'Fluxo de Caixa'!H6:H500,'Fluxo de Caixa'!H189,'Fluxo de Caixa'!D6:D500,'Fluxo de Caixa'!D231)</f>
        <v>0</v>
      </c>
      <c r="O19" s="132" t="n">
        <f aca="false">SUMIFS('Fluxo de Caixa'!F6:F500,'Fluxo de Caixa'!H6:H500,'Fluxo de Caixa'!H231,'Fluxo de Caixa'!D6:D500,'Fluxo de Caixa'!D231)</f>
        <v>0</v>
      </c>
      <c r="P19" s="132" t="n">
        <f aca="false">SUMIFS('Fluxo de Caixa'!F6:F500,'Fluxo de Caixa'!H6:H500,'Fluxo de Caixa'!H292,'Fluxo de Caixa'!D6:D500,'Fluxo de Caixa'!D231)</f>
        <v>0</v>
      </c>
      <c r="Q19" s="132"/>
    </row>
    <row r="20" customFormat="false" ht="15" hidden="false" customHeight="true" outlineLevel="0" collapsed="false">
      <c r="B20" s="96" t="s">
        <v>283</v>
      </c>
      <c r="C20" s="96"/>
      <c r="D20" s="96"/>
      <c r="E20" s="96"/>
      <c r="F20" s="133"/>
      <c r="G20" s="133"/>
      <c r="H20" s="133"/>
      <c r="I20" s="133"/>
      <c r="J20" s="133"/>
      <c r="K20" s="132"/>
      <c r="L20" s="132"/>
      <c r="M20" s="132"/>
      <c r="N20" s="132" t="n">
        <f aca="false">SUMIFS('Fluxo de Caixa'!F6:F500,'Fluxo de Caixa'!H6:H500,'Fluxo de Caixa'!H189,'Fluxo de Caixa'!D6:D500,'Fluxo de Caixa'!D265)</f>
        <v>0</v>
      </c>
      <c r="O20" s="132" t="n">
        <f aca="false">SUMIFS('Fluxo de Caixa'!F6:F500,'Fluxo de Caixa'!H6:H500,'Fluxo de Caixa'!H231,'Fluxo de Caixa'!D6:D500,'Fluxo de Caixa'!D265)</f>
        <v>0</v>
      </c>
      <c r="P20" s="132" t="n">
        <f aca="false">SUMIFS('Fluxo de Caixa'!F6:F500,'Fluxo de Caixa'!H6:H500,'Fluxo de Caixa'!H292,'Fluxo de Caixa'!D6:D500,'Fluxo de Caixa'!D265)</f>
        <v>0</v>
      </c>
      <c r="Q20" s="132"/>
    </row>
    <row r="21" customFormat="false" ht="15" hidden="false" customHeight="true" outlineLevel="0" collapsed="false">
      <c r="B21" s="96" t="s">
        <v>293</v>
      </c>
      <c r="C21" s="96"/>
      <c r="D21" s="96"/>
      <c r="E21" s="96"/>
      <c r="F21" s="133"/>
      <c r="G21" s="133"/>
      <c r="H21" s="133"/>
      <c r="I21" s="133"/>
      <c r="J21" s="133"/>
      <c r="K21" s="132"/>
      <c r="L21" s="132"/>
      <c r="M21" s="132"/>
      <c r="N21" s="132" t="n">
        <f aca="false">SUMIFS('Fluxo de Caixa'!F6:F500,'Fluxo de Caixa'!H6:H500,'Fluxo de Caixa'!H189,'Fluxo de Caixa'!D6:D500,'Fluxo de Caixa'!D188)</f>
        <v>0</v>
      </c>
      <c r="O21" s="132" t="n">
        <f aca="false">SUMIFS('Fluxo de Caixa'!F6:F500,'Fluxo de Caixa'!H6:H500,'Fluxo de Caixa'!H231,'Fluxo de Caixa'!D6:D500,'Fluxo de Caixa'!D188)</f>
        <v>0</v>
      </c>
      <c r="P21" s="132" t="n">
        <f aca="false">SUMIFS('Fluxo de Caixa'!F6:F500,'Fluxo de Caixa'!H6:H500,'Fluxo de Caixa'!H292,'Fluxo de Caixa'!D6:D500,'Fluxo de Caixa'!D188)</f>
        <v>0</v>
      </c>
      <c r="Q21" s="132"/>
    </row>
    <row r="22" customFormat="false" ht="15" hidden="false" customHeight="true" outlineLevel="0" collapsed="false">
      <c r="B22" s="126" t="s">
        <v>294</v>
      </c>
      <c r="C22" s="126"/>
      <c r="D22" s="126"/>
      <c r="E22" s="126"/>
      <c r="F22" s="134" t="n">
        <f aca="false">SUM(F9,F10,F17)</f>
        <v>0</v>
      </c>
      <c r="G22" s="130" t="n">
        <f aca="false">SUM(G9,G10,G17)</f>
        <v>0</v>
      </c>
      <c r="H22" s="134" t="n">
        <f aca="false">SUM(H9,H10,H17)</f>
        <v>0</v>
      </c>
      <c r="I22" s="130" t="n">
        <f aca="false">SUM(I9,I10,I17)</f>
        <v>0</v>
      </c>
      <c r="J22" s="130" t="n">
        <f aca="false">SUM(J9,J10,J17)</f>
        <v>0</v>
      </c>
      <c r="K22" s="131" t="n">
        <f aca="false">SUM(K9,K10,K17)</f>
        <v>0</v>
      </c>
      <c r="L22" s="131" t="n">
        <f aca="false">SUM(L9,L10,L17)</f>
        <v>0</v>
      </c>
      <c r="M22" s="131" t="n">
        <f aca="false">SUM(M9,M10,M17)</f>
        <v>0</v>
      </c>
      <c r="N22" s="131" t="n">
        <f aca="false">SUM(N9,N10,N17)</f>
        <v>0</v>
      </c>
      <c r="O22" s="131" t="n">
        <f aca="false">SUM(O9,O10,O17)</f>
        <v>0</v>
      </c>
      <c r="P22" s="131" t="n">
        <f aca="false">SUM(P9,P10,P17)</f>
        <v>0</v>
      </c>
      <c r="Q22" s="131" t="n">
        <f aca="false">SUM(Q9,Q10,Q17)</f>
        <v>0</v>
      </c>
    </row>
    <row r="24" customFormat="false" ht="15" hidden="false" customHeight="true" outlineLevel="0" collapsed="false">
      <c r="I24" s="63" t="s">
        <v>49</v>
      </c>
    </row>
    <row r="25" customFormat="false" ht="15" hidden="false" customHeight="true" outlineLevel="0" collapsed="false">
      <c r="B25" s="84" t="s">
        <v>295</v>
      </c>
      <c r="C25" s="84"/>
      <c r="D25" s="84"/>
      <c r="E25" s="84"/>
      <c r="F25" s="84"/>
      <c r="G25" s="84"/>
      <c r="H25" s="84"/>
      <c r="J25" s="135" t="s">
        <v>296</v>
      </c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</row>
    <row r="26" customFormat="false" ht="15" hidden="false" customHeight="true" outlineLevel="0" collapsed="false">
      <c r="B26" s="126" t="s">
        <v>263</v>
      </c>
      <c r="C26" s="126"/>
      <c r="D26" s="136" t="s">
        <v>264</v>
      </c>
      <c r="E26" s="136" t="s">
        <v>265</v>
      </c>
      <c r="F26" s="136" t="s">
        <v>266</v>
      </c>
      <c r="G26" s="136" t="s">
        <v>267</v>
      </c>
      <c r="H26" s="136" t="s">
        <v>268</v>
      </c>
      <c r="J26" s="137"/>
      <c r="K26" s="137"/>
      <c r="L26" s="88" t="s">
        <v>269</v>
      </c>
      <c r="M26" s="88" t="s">
        <v>28</v>
      </c>
      <c r="N26" s="88" t="s">
        <v>31</v>
      </c>
      <c r="O26" s="88" t="s">
        <v>34</v>
      </c>
      <c r="P26" s="88" t="s">
        <v>38</v>
      </c>
      <c r="Q26" s="88" t="s">
        <v>297</v>
      </c>
      <c r="R26" s="88" t="s">
        <v>43</v>
      </c>
      <c r="S26" s="88" t="s">
        <v>44</v>
      </c>
      <c r="T26" s="88" t="s">
        <v>45</v>
      </c>
      <c r="U26" s="88" t="s">
        <v>46</v>
      </c>
      <c r="V26" s="88" t="s">
        <v>47</v>
      </c>
      <c r="W26" s="88" t="s">
        <v>48</v>
      </c>
    </row>
    <row r="27" customFormat="false" ht="15" hidden="false" customHeight="true" outlineLevel="0" collapsed="false">
      <c r="B27" s="95" t="s">
        <v>269</v>
      </c>
      <c r="C27" s="96"/>
      <c r="D27" s="138"/>
      <c r="E27" s="138"/>
      <c r="F27" s="138"/>
      <c r="G27" s="139" t="n">
        <f aca="false">E27-F27</f>
        <v>0</v>
      </c>
      <c r="H27" s="132" t="n">
        <f aca="false">D27+G27</f>
        <v>0</v>
      </c>
      <c r="J27" s="140" t="s">
        <v>298</v>
      </c>
      <c r="K27" s="141"/>
      <c r="L27" s="142"/>
      <c r="M27" s="142"/>
      <c r="N27" s="142"/>
      <c r="O27" s="142"/>
      <c r="P27" s="142"/>
      <c r="Q27" s="142"/>
      <c r="R27" s="142"/>
      <c r="S27" s="142"/>
      <c r="T27" s="106"/>
      <c r="U27" s="106"/>
      <c r="V27" s="106"/>
      <c r="W27" s="106"/>
    </row>
    <row r="28" customFormat="false" ht="15" hidden="false" customHeight="true" outlineLevel="0" collapsed="false">
      <c r="B28" s="105" t="s">
        <v>28</v>
      </c>
      <c r="C28" s="106"/>
      <c r="D28" s="143"/>
      <c r="E28" s="143"/>
      <c r="F28" s="143"/>
      <c r="G28" s="142" t="n">
        <f aca="false">E28-F28</f>
        <v>0</v>
      </c>
      <c r="H28" s="144" t="n">
        <f aca="false">D28+G28</f>
        <v>0</v>
      </c>
      <c r="J28" s="145" t="s">
        <v>299</v>
      </c>
      <c r="K28" s="146"/>
      <c r="L28" s="132" t="n">
        <f aca="false">D27</f>
        <v>0</v>
      </c>
      <c r="M28" s="132" t="n">
        <f aca="false">D28</f>
        <v>0</v>
      </c>
      <c r="N28" s="132" t="n">
        <f aca="false">D29</f>
        <v>0</v>
      </c>
      <c r="O28" s="132" t="n">
        <f aca="false">D30</f>
        <v>0</v>
      </c>
      <c r="P28" s="132" t="n">
        <f aca="false">D31</f>
        <v>0</v>
      </c>
      <c r="Q28" s="132" t="n">
        <f aca="false">H31</f>
        <v>0</v>
      </c>
      <c r="R28" s="132" t="n">
        <f aca="false">D33</f>
        <v>0</v>
      </c>
      <c r="S28" s="132" t="n">
        <f aca="false">D34</f>
        <v>0</v>
      </c>
      <c r="T28" s="132" t="n">
        <f aca="false">D35</f>
        <v>0</v>
      </c>
      <c r="U28" s="132" t="n">
        <f aca="false">D36</f>
        <v>0</v>
      </c>
      <c r="V28" s="132" t="n">
        <f aca="false">D37</f>
        <v>0</v>
      </c>
      <c r="W28" s="132" t="n">
        <f aca="false">D38</f>
        <v>0</v>
      </c>
    </row>
    <row r="29" customFormat="false" ht="15" hidden="false" customHeight="true" outlineLevel="0" collapsed="false">
      <c r="B29" s="95" t="s">
        <v>31</v>
      </c>
      <c r="C29" s="96"/>
      <c r="D29" s="138"/>
      <c r="E29" s="138"/>
      <c r="F29" s="138"/>
      <c r="G29" s="147" t="n">
        <f aca="false">E29-F29</f>
        <v>0</v>
      </c>
      <c r="H29" s="132" t="n">
        <f aca="false">D29+G29</f>
        <v>0</v>
      </c>
      <c r="J29" s="145" t="s">
        <v>300</v>
      </c>
      <c r="K29" s="146"/>
      <c r="L29" s="148" t="n">
        <f aca="false">F4</f>
        <v>0</v>
      </c>
      <c r="M29" s="148" t="n">
        <f aca="false">G4</f>
        <v>0</v>
      </c>
      <c r="N29" s="148" t="n">
        <f aca="false">H4</f>
        <v>0</v>
      </c>
      <c r="O29" s="148" t="n">
        <f aca="false">I4</f>
        <v>0</v>
      </c>
      <c r="P29" s="148" t="n">
        <f aca="false">J4</f>
        <v>0</v>
      </c>
      <c r="Q29" s="132" t="n">
        <f aca="false">K4</f>
        <v>0</v>
      </c>
      <c r="R29" s="132" t="n">
        <f aca="false">L4</f>
        <v>0</v>
      </c>
      <c r="S29" s="132" t="n">
        <f aca="false">M4</f>
        <v>0</v>
      </c>
      <c r="T29" s="132" t="n">
        <f aca="false">N4</f>
        <v>0</v>
      </c>
      <c r="U29" s="132" t="n">
        <f aca="false">O4</f>
        <v>0</v>
      </c>
      <c r="V29" s="132" t="n">
        <f aca="false">P4</f>
        <v>0</v>
      </c>
      <c r="W29" s="132" t="n">
        <f aca="false">Q4</f>
        <v>0</v>
      </c>
    </row>
    <row r="30" customFormat="false" ht="15" hidden="false" customHeight="true" outlineLevel="0" collapsed="false">
      <c r="B30" s="105" t="s">
        <v>34</v>
      </c>
      <c r="C30" s="106"/>
      <c r="D30" s="143"/>
      <c r="E30" s="143"/>
      <c r="F30" s="143"/>
      <c r="G30" s="149" t="n">
        <f aca="false">E30-F30</f>
        <v>0</v>
      </c>
      <c r="H30" s="144" t="n">
        <f aca="false">D30+G30</f>
        <v>0</v>
      </c>
      <c r="J30" s="150" t="s">
        <v>301</v>
      </c>
      <c r="K30" s="141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</row>
    <row r="31" customFormat="false" ht="15" hidden="false" customHeight="true" outlineLevel="0" collapsed="false">
      <c r="B31" s="95" t="s">
        <v>38</v>
      </c>
      <c r="C31" s="96"/>
      <c r="D31" s="138"/>
      <c r="E31" s="138"/>
      <c r="F31" s="138"/>
      <c r="G31" s="151" t="n">
        <f aca="false">E31-F31</f>
        <v>0</v>
      </c>
      <c r="H31" s="152" t="n">
        <f aca="false">D31+G31</f>
        <v>0</v>
      </c>
      <c r="J31" s="145" t="s">
        <v>302</v>
      </c>
      <c r="K31" s="146"/>
      <c r="L31" s="148"/>
      <c r="M31" s="148"/>
      <c r="N31" s="148"/>
      <c r="O31" s="148"/>
      <c r="P31" s="148"/>
      <c r="Q31" s="132"/>
      <c r="R31" s="132"/>
      <c r="S31" s="132"/>
      <c r="T31" s="96"/>
      <c r="U31" s="96"/>
      <c r="V31" s="96"/>
      <c r="W31" s="96"/>
    </row>
    <row r="32" customFormat="false" ht="15" hidden="false" customHeight="true" outlineLevel="0" collapsed="false">
      <c r="B32" s="105" t="s">
        <v>41</v>
      </c>
      <c r="C32" s="106"/>
      <c r="D32" s="143" t="n">
        <f aca="false">H31</f>
        <v>0</v>
      </c>
      <c r="E32" s="143"/>
      <c r="F32" s="143"/>
      <c r="G32" s="153" t="n">
        <f aca="false">E32-F32</f>
        <v>0</v>
      </c>
      <c r="H32" s="143" t="n">
        <f aca="false">D32+G32</f>
        <v>0</v>
      </c>
      <c r="J32" s="145" t="s">
        <v>303</v>
      </c>
      <c r="K32" s="96"/>
      <c r="L32" s="148"/>
      <c r="M32" s="148"/>
      <c r="N32" s="148"/>
      <c r="O32" s="148"/>
      <c r="P32" s="148"/>
      <c r="Q32" s="132"/>
      <c r="R32" s="132"/>
      <c r="S32" s="96"/>
      <c r="T32" s="96"/>
      <c r="U32" s="96"/>
      <c r="V32" s="96"/>
      <c r="W32" s="96"/>
    </row>
    <row r="33" customFormat="false" ht="15" hidden="false" customHeight="true" outlineLevel="0" collapsed="false">
      <c r="B33" s="95" t="s">
        <v>43</v>
      </c>
      <c r="C33" s="96"/>
      <c r="D33" s="138" t="n">
        <f aca="false">H32</f>
        <v>0</v>
      </c>
      <c r="E33" s="138"/>
      <c r="F33" s="138"/>
      <c r="G33" s="151" t="n">
        <f aca="false">E33-F33</f>
        <v>0</v>
      </c>
      <c r="H33" s="152" t="n">
        <f aca="false">D33+G33</f>
        <v>0</v>
      </c>
      <c r="J33" s="145" t="s">
        <v>304</v>
      </c>
      <c r="K33" s="96"/>
      <c r="L33" s="148"/>
      <c r="M33" s="148"/>
      <c r="N33" s="148"/>
      <c r="O33" s="148"/>
      <c r="P33" s="148"/>
      <c r="Q33" s="132"/>
      <c r="R33" s="132"/>
      <c r="S33" s="96"/>
      <c r="T33" s="96"/>
      <c r="U33" s="96"/>
      <c r="V33" s="96"/>
      <c r="W33" s="96"/>
    </row>
    <row r="34" customFormat="false" ht="15" hidden="false" customHeight="true" outlineLevel="0" collapsed="false">
      <c r="B34" s="105" t="s">
        <v>44</v>
      </c>
      <c r="C34" s="106"/>
      <c r="D34" s="143" t="n">
        <f aca="false">H33</f>
        <v>0</v>
      </c>
      <c r="E34" s="143"/>
      <c r="F34" s="143"/>
      <c r="G34" s="154" t="n">
        <f aca="false">E34-F34</f>
        <v>0</v>
      </c>
      <c r="H34" s="143" t="n">
        <f aca="false">D34+G34</f>
        <v>0</v>
      </c>
      <c r="J34" s="145" t="s">
        <v>305</v>
      </c>
      <c r="K34" s="96"/>
      <c r="L34" s="148"/>
      <c r="M34" s="148"/>
      <c r="N34" s="148"/>
      <c r="O34" s="148"/>
      <c r="P34" s="148"/>
      <c r="Q34" s="132"/>
      <c r="R34" s="132"/>
      <c r="S34" s="96"/>
      <c r="T34" s="96"/>
      <c r="U34" s="96"/>
      <c r="V34" s="96"/>
      <c r="W34" s="96"/>
    </row>
    <row r="35" customFormat="false" ht="15" hidden="false" customHeight="true" outlineLevel="0" collapsed="false">
      <c r="B35" s="95" t="s">
        <v>45</v>
      </c>
      <c r="C35" s="96"/>
      <c r="D35" s="138" t="n">
        <f aca="false">H34</f>
        <v>0</v>
      </c>
      <c r="E35" s="138"/>
      <c r="F35" s="138"/>
      <c r="G35" s="151" t="n">
        <f aca="false">E35-F35</f>
        <v>0</v>
      </c>
      <c r="H35" s="152" t="n">
        <f aca="false">D35+G35</f>
        <v>0</v>
      </c>
      <c r="J35" s="150" t="s">
        <v>306</v>
      </c>
      <c r="K35" s="105"/>
      <c r="L35" s="155"/>
      <c r="M35" s="155"/>
      <c r="N35" s="155"/>
      <c r="O35" s="155"/>
      <c r="P35" s="155"/>
      <c r="Q35" s="105"/>
      <c r="R35" s="105"/>
      <c r="S35" s="105"/>
      <c r="T35" s="105"/>
      <c r="U35" s="105"/>
      <c r="V35" s="105"/>
      <c r="W35" s="105"/>
    </row>
    <row r="36" customFormat="false" ht="15" hidden="false" customHeight="true" outlineLevel="0" collapsed="false">
      <c r="B36" s="105" t="s">
        <v>46</v>
      </c>
      <c r="C36" s="106"/>
      <c r="D36" s="143"/>
      <c r="E36" s="143"/>
      <c r="F36" s="143"/>
      <c r="G36" s="143"/>
      <c r="H36" s="143"/>
      <c r="J36" s="156" t="s">
        <v>307</v>
      </c>
      <c r="K36" s="132"/>
      <c r="L36" s="132" t="n">
        <f aca="false">F22</f>
        <v>0</v>
      </c>
      <c r="M36" s="132" t="n">
        <f aca="false">G22</f>
        <v>0</v>
      </c>
      <c r="N36" s="132" t="n">
        <f aca="false">H22</f>
        <v>0</v>
      </c>
      <c r="O36" s="132" t="n">
        <f aca="false">I22</f>
        <v>0</v>
      </c>
      <c r="P36" s="132" t="n">
        <f aca="false">J22</f>
        <v>0</v>
      </c>
      <c r="Q36" s="132" t="n">
        <f aca="false">K22</f>
        <v>0</v>
      </c>
      <c r="R36" s="132" t="n">
        <f aca="false">L22</f>
        <v>0</v>
      </c>
      <c r="S36" s="132" t="n">
        <f aca="false">M22</f>
        <v>0</v>
      </c>
      <c r="T36" s="132"/>
      <c r="U36" s="132"/>
      <c r="V36" s="132"/>
      <c r="W36" s="132"/>
    </row>
    <row r="37" customFormat="false" ht="15" hidden="false" customHeight="true" outlineLevel="0" collapsed="false">
      <c r="B37" s="95" t="s">
        <v>47</v>
      </c>
      <c r="C37" s="96"/>
      <c r="D37" s="132"/>
      <c r="E37" s="132"/>
      <c r="F37" s="132"/>
      <c r="G37" s="157"/>
      <c r="H37" s="157"/>
    </row>
    <row r="38" customFormat="false" ht="15" hidden="false" customHeight="true" outlineLevel="0" collapsed="false">
      <c r="B38" s="105" t="s">
        <v>48</v>
      </c>
      <c r="C38" s="106"/>
      <c r="D38" s="144"/>
      <c r="E38" s="144"/>
      <c r="F38" s="144"/>
      <c r="G38" s="144"/>
      <c r="H38" s="144"/>
    </row>
    <row r="40" customFormat="false" ht="15" hidden="false" customHeight="true" outlineLevel="0" collapsed="false">
      <c r="B40" s="158" t="s">
        <v>308</v>
      </c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5" hidden="false" customHeight="true" outlineLevel="0" collapsed="false">
      <c r="B41" s="137"/>
      <c r="C41" s="137"/>
      <c r="D41" s="137"/>
      <c r="E41" s="88" t="s">
        <v>269</v>
      </c>
      <c r="F41" s="88" t="s">
        <v>309</v>
      </c>
      <c r="G41" s="88" t="s">
        <v>310</v>
      </c>
      <c r="H41" s="88" t="s">
        <v>311</v>
      </c>
      <c r="I41" s="88" t="s">
        <v>312</v>
      </c>
      <c r="J41" s="88" t="s">
        <v>297</v>
      </c>
      <c r="K41" s="88" t="s">
        <v>43</v>
      </c>
      <c r="L41" s="88" t="s">
        <v>44</v>
      </c>
      <c r="M41" s="88" t="s">
        <v>45</v>
      </c>
      <c r="N41" s="88" t="s">
        <v>46</v>
      </c>
      <c r="O41" s="88" t="s">
        <v>47</v>
      </c>
      <c r="P41" s="88" t="s">
        <v>48</v>
      </c>
    </row>
    <row r="42" customFormat="false" ht="15" hidden="false" customHeight="true" outlineLevel="0" collapsed="false">
      <c r="B42" s="159" t="s">
        <v>3</v>
      </c>
      <c r="C42" s="159"/>
      <c r="D42" s="159"/>
      <c r="E42" s="160" t="n">
        <f aca="false">F4</f>
        <v>0</v>
      </c>
      <c r="F42" s="148" t="n">
        <f aca="false">G4</f>
        <v>0</v>
      </c>
      <c r="G42" s="148" t="n">
        <f aca="false">H4</f>
        <v>0</v>
      </c>
      <c r="H42" s="148" t="n">
        <f aca="false">I4</f>
        <v>0</v>
      </c>
      <c r="I42" s="161" t="n">
        <f aca="false">J4</f>
        <v>0</v>
      </c>
      <c r="J42" s="157" t="n">
        <f aca="false">K4</f>
        <v>0</v>
      </c>
      <c r="K42" s="132" t="n">
        <f aca="false">L4</f>
        <v>0</v>
      </c>
      <c r="L42" s="132" t="n">
        <f aca="false">M4</f>
        <v>0</v>
      </c>
      <c r="M42" s="132" t="n">
        <f aca="false">N4</f>
        <v>0</v>
      </c>
      <c r="N42" s="132" t="n">
        <f aca="false">O4</f>
        <v>0</v>
      </c>
      <c r="O42" s="132" t="n">
        <f aca="false">P4</f>
        <v>0</v>
      </c>
      <c r="P42" s="132" t="n">
        <f aca="false">Q4</f>
        <v>0</v>
      </c>
    </row>
    <row r="43" customFormat="false" ht="15" hidden="false" customHeight="true" outlineLevel="0" collapsed="false">
      <c r="B43" s="162" t="s">
        <v>313</v>
      </c>
      <c r="C43" s="162"/>
      <c r="D43" s="162"/>
      <c r="E43" s="163" t="e">
        <f aca="false">F6/F5</f>
        <v>#DIV/0!</v>
      </c>
      <c r="F43" s="164" t="e">
        <f aca="false">G6/G5</f>
        <v>#DIV/0!</v>
      </c>
      <c r="G43" s="163" t="e">
        <f aca="false">H6/H5</f>
        <v>#DIV/0!</v>
      </c>
      <c r="H43" s="163" t="e">
        <f aca="false">I6/I5</f>
        <v>#DIV/0!</v>
      </c>
      <c r="I43" s="164" t="e">
        <f aca="false">J6/J5</f>
        <v>#DIV/0!</v>
      </c>
      <c r="J43" s="163" t="e">
        <f aca="false">K6/K5</f>
        <v>#DIV/0!</v>
      </c>
      <c r="K43" s="163" t="e">
        <f aca="false">L6/L5</f>
        <v>#DIV/0!</v>
      </c>
      <c r="L43" s="165" t="e">
        <f aca="false">M6/M5</f>
        <v>#DIV/0!</v>
      </c>
      <c r="M43" s="166" t="e">
        <f aca="false">N6/N5</f>
        <v>#DIV/0!</v>
      </c>
      <c r="N43" s="167"/>
      <c r="O43" s="167"/>
      <c r="P43" s="167"/>
    </row>
    <row r="44" customFormat="false" ht="15" hidden="false" customHeight="true" outlineLevel="0" collapsed="false">
      <c r="B44" s="159" t="s">
        <v>314</v>
      </c>
      <c r="C44" s="159"/>
      <c r="D44" s="159"/>
      <c r="E44" s="168" t="e">
        <f aca="false">F7/F5</f>
        <v>#DIV/0!</v>
      </c>
      <c r="F44" s="169" t="e">
        <f aca="false">G7/G5</f>
        <v>#DIV/0!</v>
      </c>
      <c r="G44" s="168" t="e">
        <f aca="false">H7/H5</f>
        <v>#DIV/0!</v>
      </c>
      <c r="H44" s="168" t="e">
        <f aca="false">I7/I5</f>
        <v>#DIV/0!</v>
      </c>
      <c r="I44" s="168" t="e">
        <f aca="false">J7/J5</f>
        <v>#DIV/0!</v>
      </c>
      <c r="J44" s="168" t="e">
        <f aca="false">K7/K5</f>
        <v>#DIV/0!</v>
      </c>
      <c r="K44" s="170" t="e">
        <f aca="false">L7/L5</f>
        <v>#DIV/0!</v>
      </c>
      <c r="L44" s="171" t="e">
        <f aca="false">M7/M5</f>
        <v>#DIV/0!</v>
      </c>
      <c r="M44" s="170" t="e">
        <f aca="false">N7/N5</f>
        <v>#DIV/0!</v>
      </c>
      <c r="N44" s="172"/>
      <c r="O44" s="172"/>
      <c r="P44" s="172"/>
    </row>
    <row r="45" customFormat="false" ht="15" hidden="false" customHeight="true" outlineLevel="0" collapsed="false">
      <c r="B45" s="162" t="s">
        <v>315</v>
      </c>
      <c r="C45" s="162"/>
      <c r="D45" s="162"/>
      <c r="E45" s="163"/>
      <c r="F45" s="164" t="e">
        <f aca="false">(G4-F4)/F4</f>
        <v>#DIV/0!</v>
      </c>
      <c r="G45" s="164" t="e">
        <f aca="false">(H4-G4)/G4</f>
        <v>#DIV/0!</v>
      </c>
      <c r="H45" s="164" t="e">
        <f aca="false">(I4-H4)/H4</f>
        <v>#DIV/0!</v>
      </c>
      <c r="I45" s="164" t="e">
        <f aca="false">(J4-I4)/I4</f>
        <v>#DIV/0!</v>
      </c>
      <c r="J45" s="164" t="e">
        <f aca="false">(K4-J4)/J4</f>
        <v>#DIV/0!</v>
      </c>
      <c r="K45" s="165" t="e">
        <f aca="false">(L4-K4)/K4</f>
        <v>#DIV/0!</v>
      </c>
      <c r="L45" s="165" t="e">
        <f aca="false">(M4-L4)/L4</f>
        <v>#DIV/0!</v>
      </c>
      <c r="M45" s="165" t="e">
        <f aca="false">(N4-M4)/M4</f>
        <v>#DIV/0!</v>
      </c>
      <c r="N45" s="167"/>
      <c r="O45" s="167"/>
      <c r="P45" s="167"/>
    </row>
    <row r="46" customFormat="false" ht="15" hidden="false" customHeight="true" outlineLevel="0" collapsed="false">
      <c r="B46" s="159" t="s">
        <v>316</v>
      </c>
      <c r="C46" s="159"/>
      <c r="D46" s="159"/>
      <c r="E46" s="160" t="n">
        <f aca="false">F4/23</f>
        <v>0</v>
      </c>
      <c r="F46" s="148" t="n">
        <f aca="false">G4/23</f>
        <v>0</v>
      </c>
      <c r="G46" s="148" t="n">
        <f aca="false">H4/23</f>
        <v>0</v>
      </c>
      <c r="H46" s="148" t="n">
        <f aca="false">I4/22</f>
        <v>0</v>
      </c>
      <c r="I46" s="161" t="n">
        <f aca="false">J4/19</f>
        <v>0</v>
      </c>
      <c r="J46" s="132" t="n">
        <f aca="false">K4/19</f>
        <v>0</v>
      </c>
      <c r="K46" s="132" t="n">
        <f aca="false">L4/16</f>
        <v>0</v>
      </c>
      <c r="L46" s="132" t="n">
        <f aca="false">M4/18</f>
        <v>0</v>
      </c>
      <c r="M46" s="132" t="n">
        <f aca="false">N4/20</f>
        <v>0</v>
      </c>
      <c r="N46" s="132"/>
      <c r="O46" s="132"/>
      <c r="P46" s="132"/>
    </row>
    <row r="47" customFormat="false" ht="15" hidden="false" customHeight="true" outlineLevel="0" collapsed="false">
      <c r="B47" s="162" t="s">
        <v>317</v>
      </c>
      <c r="C47" s="162"/>
      <c r="D47" s="162"/>
      <c r="E47" s="163" t="e">
        <f aca="false">(F4-F18-F19-F20-F21)/F4</f>
        <v>#DIV/0!</v>
      </c>
      <c r="F47" s="163" t="e">
        <f aca="false">(G4-G18-G19-G20-G21)/G4</f>
        <v>#DIV/0!</v>
      </c>
      <c r="G47" s="163" t="e">
        <f aca="false">(H4-H18-H19-H20-H21)/H4</f>
        <v>#DIV/0!</v>
      </c>
      <c r="H47" s="163" t="e">
        <f aca="false">(I4-I18-I19-I20-I21)/I4</f>
        <v>#DIV/0!</v>
      </c>
      <c r="I47" s="163" t="e">
        <f aca="false">(J4-J18-J19-J20-J21)/J4</f>
        <v>#DIV/0!</v>
      </c>
      <c r="J47" s="163" t="e">
        <f aca="false">(K4-K18-K19-K20-K21)/K4</f>
        <v>#DIV/0!</v>
      </c>
      <c r="K47" s="165" t="e">
        <f aca="false">(L4-L18-L19-L20-L21)/L4</f>
        <v>#DIV/0!</v>
      </c>
      <c r="L47" s="165" t="e">
        <f aca="false">(M4-M18-M19-M20-M21)/M4</f>
        <v>#DIV/0!</v>
      </c>
      <c r="M47" s="165" t="e">
        <f aca="false">(N4-N18-N19-N20-N21)/N4</f>
        <v>#DIV/0!</v>
      </c>
      <c r="N47" s="167"/>
      <c r="O47" s="167"/>
      <c r="P47" s="167"/>
    </row>
    <row r="48" customFormat="false" ht="15" hidden="false" customHeight="true" outlineLevel="0" collapsed="false">
      <c r="B48" s="159" t="s">
        <v>318</v>
      </c>
      <c r="C48" s="159"/>
      <c r="D48" s="159"/>
      <c r="E48" s="168" t="e">
        <f aca="false">F22/F4</f>
        <v>#DIV/0!</v>
      </c>
      <c r="F48" s="168" t="e">
        <f aca="false">G22/G4</f>
        <v>#DIV/0!</v>
      </c>
      <c r="G48" s="168" t="e">
        <f aca="false">H22/H4</f>
        <v>#DIV/0!</v>
      </c>
      <c r="H48" s="168" t="e">
        <f aca="false">I22/I4</f>
        <v>#DIV/0!</v>
      </c>
      <c r="I48" s="168" t="e">
        <f aca="false">J22/J4</f>
        <v>#DIV/0!</v>
      </c>
      <c r="J48" s="168" t="e">
        <f aca="false">K22/K4</f>
        <v>#DIV/0!</v>
      </c>
      <c r="K48" s="171" t="e">
        <f aca="false">L22/L4</f>
        <v>#DIV/0!</v>
      </c>
      <c r="L48" s="171" t="e">
        <f aca="false">M22/M4</f>
        <v>#DIV/0!</v>
      </c>
      <c r="M48" s="171" t="e">
        <f aca="false">N22/N4</f>
        <v>#DIV/0!</v>
      </c>
      <c r="N48" s="172"/>
      <c r="O48" s="172"/>
      <c r="P48" s="172"/>
    </row>
    <row r="49" customFormat="false" ht="15" hidden="false" customHeight="true" outlineLevel="0" collapsed="false">
      <c r="B49" s="106" t="s">
        <v>319</v>
      </c>
      <c r="C49" s="164"/>
      <c r="D49" s="164"/>
      <c r="E49" s="173" t="n">
        <f aca="false">F4/6</f>
        <v>0</v>
      </c>
      <c r="F49" s="173" t="n">
        <f aca="false">G4/5</f>
        <v>0</v>
      </c>
      <c r="G49" s="173" t="n">
        <f aca="false">H4/5</f>
        <v>0</v>
      </c>
      <c r="H49" s="173" t="n">
        <f aca="false">I4/5</f>
        <v>0</v>
      </c>
      <c r="I49" s="173" t="n">
        <f aca="false">J4/5</f>
        <v>0</v>
      </c>
      <c r="J49" s="144" t="n">
        <f aca="false">K4/7</f>
        <v>0</v>
      </c>
      <c r="K49" s="144" t="n">
        <f aca="false">L4/6</f>
        <v>0</v>
      </c>
      <c r="L49" s="144" t="n">
        <f aca="false">M4/8</f>
        <v>0</v>
      </c>
      <c r="M49" s="144" t="n">
        <f aca="false">N4/8</f>
        <v>0</v>
      </c>
      <c r="N49" s="144"/>
      <c r="O49" s="144"/>
      <c r="P49" s="144"/>
    </row>
    <row r="50" customFormat="false" ht="15" hidden="false" customHeight="true" outlineLevel="0" collapsed="false">
      <c r="B50" s="96" t="s">
        <v>320</v>
      </c>
      <c r="C50" s="169"/>
      <c r="D50" s="169"/>
      <c r="E50" s="174" t="e">
        <f aca="false">L29/(F4/30)</f>
        <v>#DIV/0!</v>
      </c>
      <c r="F50" s="174" t="e">
        <f aca="false">M29/(G4/30)</f>
        <v>#DIV/0!</v>
      </c>
      <c r="G50" s="174" t="e">
        <f aca="false">N29/(H4/30)</f>
        <v>#DIV/0!</v>
      </c>
      <c r="H50" s="174" t="e">
        <f aca="false">O29/(I4/30)</f>
        <v>#DIV/0!</v>
      </c>
      <c r="I50" s="174" t="e">
        <f aca="false">P29/(J4/30)</f>
        <v>#DIV/0!</v>
      </c>
      <c r="J50" s="174" t="e">
        <f aca="false">Q29/(K4/30)</f>
        <v>#DIV/0!</v>
      </c>
      <c r="K50" s="174" t="e">
        <f aca="false">R29/(L4/30)</f>
        <v>#DIV/0!</v>
      </c>
      <c r="L50" s="174" t="e">
        <f aca="false">S29/(M4/30)</f>
        <v>#DIV/0!</v>
      </c>
      <c r="M50" s="96" t="e">
        <f aca="false">T29/(N4/30)</f>
        <v>#DIV/0!</v>
      </c>
      <c r="N50" s="175"/>
      <c r="O50" s="175"/>
      <c r="P50" s="175"/>
    </row>
    <row r="51" customFormat="false" ht="15" hidden="false" customHeight="true" outlineLevel="0" collapsed="false">
      <c r="B51" s="106" t="s">
        <v>321</v>
      </c>
      <c r="C51" s="164"/>
      <c r="D51" s="164"/>
      <c r="E51" s="144" t="n">
        <f aca="false">E27-F27</f>
        <v>0</v>
      </c>
      <c r="F51" s="144" t="n">
        <f aca="false">E28-F28</f>
        <v>0</v>
      </c>
      <c r="G51" s="176" t="n">
        <f aca="false">E29-F29</f>
        <v>0</v>
      </c>
      <c r="H51" s="176" t="n">
        <f aca="false">E30-F30</f>
        <v>0</v>
      </c>
      <c r="I51" s="144" t="n">
        <f aca="false">E31-F31</f>
        <v>0</v>
      </c>
      <c r="J51" s="176" t="n">
        <f aca="false">E32-F32</f>
        <v>0</v>
      </c>
      <c r="K51" s="144" t="n">
        <f aca="false">E33-F33</f>
        <v>0</v>
      </c>
      <c r="L51" s="144" t="n">
        <f aca="false">E34-F34</f>
        <v>0</v>
      </c>
      <c r="M51" s="144" t="n">
        <f aca="false">E35-F35</f>
        <v>0</v>
      </c>
      <c r="N51" s="144"/>
      <c r="O51" s="144"/>
      <c r="P51" s="144"/>
    </row>
    <row r="52" customFormat="false" ht="15" hidden="false" customHeight="true" outlineLevel="0" collapsed="false">
      <c r="B52" s="96" t="s">
        <v>322</v>
      </c>
      <c r="C52" s="169"/>
      <c r="D52" s="169"/>
      <c r="E52" s="132" t="n">
        <f aca="false">E51</f>
        <v>0</v>
      </c>
      <c r="F52" s="132" t="n">
        <f aca="false">F51</f>
        <v>0</v>
      </c>
      <c r="G52" s="177" t="n">
        <f aca="false">G51</f>
        <v>0</v>
      </c>
      <c r="H52" s="177" t="n">
        <f aca="false">H51</f>
        <v>0</v>
      </c>
      <c r="I52" s="132" t="n">
        <f aca="false">I51</f>
        <v>0</v>
      </c>
      <c r="J52" s="177" t="n">
        <f aca="false">J51</f>
        <v>0</v>
      </c>
      <c r="K52" s="132" t="n">
        <f aca="false">K51</f>
        <v>0</v>
      </c>
      <c r="L52" s="132" t="n">
        <f aca="false">L51</f>
        <v>0</v>
      </c>
      <c r="M52" s="132" t="n">
        <f aca="false">M51</f>
        <v>0</v>
      </c>
      <c r="N52" s="132"/>
      <c r="O52" s="132"/>
      <c r="P52" s="132"/>
    </row>
    <row r="53" customFormat="false" ht="15" hidden="false" customHeight="true" outlineLevel="0" collapsed="false">
      <c r="B53" s="106" t="s">
        <v>323</v>
      </c>
      <c r="C53" s="106"/>
      <c r="D53" s="106"/>
      <c r="E53" s="164" t="n">
        <f aca="false">0/23</f>
        <v>0</v>
      </c>
      <c r="F53" s="164" t="n">
        <f aca="false">0/23</f>
        <v>0</v>
      </c>
      <c r="G53" s="164" t="n">
        <f aca="false">0/23</f>
        <v>0</v>
      </c>
      <c r="H53" s="164" t="n">
        <f aca="false">1/23</f>
        <v>0.0434782608695652</v>
      </c>
      <c r="I53" s="166" t="n">
        <f aca="false">3/22</f>
        <v>0.136363636363636</v>
      </c>
      <c r="J53" s="166" t="n">
        <f aca="false">0/19</f>
        <v>0</v>
      </c>
      <c r="K53" s="166" t="n">
        <f aca="false">3/16</f>
        <v>0.1875</v>
      </c>
      <c r="L53" s="166" t="n">
        <f aca="false">0/18</f>
        <v>0</v>
      </c>
      <c r="M53" s="165"/>
      <c r="N53" s="166"/>
      <c r="O53" s="166"/>
      <c r="P53" s="166"/>
    </row>
    <row r="54" customFormat="false" ht="15" hidden="false" customHeight="true" outlineLevel="0" collapsed="false">
      <c r="B54" s="96" t="s">
        <v>324</v>
      </c>
      <c r="C54" s="96"/>
      <c r="D54" s="96"/>
      <c r="E54" s="132" t="e">
        <f aca="false">E46*E47*12</f>
        <v>#DIV/0!</v>
      </c>
      <c r="F54" s="132" t="e">
        <f aca="false">F46*F47*12</f>
        <v>#DIV/0!</v>
      </c>
      <c r="G54" s="132" t="e">
        <f aca="false">G46*G47*12</f>
        <v>#DIV/0!</v>
      </c>
      <c r="H54" s="132" t="e">
        <f aca="false">H46*H47*12</f>
        <v>#DIV/0!</v>
      </c>
      <c r="I54" s="132" t="e">
        <f aca="false">I46*I47*12</f>
        <v>#DIV/0!</v>
      </c>
      <c r="J54" s="132" t="e">
        <f aca="false">J46*J47*12</f>
        <v>#DIV/0!</v>
      </c>
      <c r="K54" s="132" t="e">
        <f aca="false">K46*K47*12</f>
        <v>#DIV/0!</v>
      </c>
      <c r="L54" s="132" t="e">
        <f aca="false">L46*L47*12</f>
        <v>#DIV/0!</v>
      </c>
      <c r="M54" s="132" t="e">
        <f aca="false">M46*M47*12</f>
        <v>#DIV/0!</v>
      </c>
      <c r="N54" s="132"/>
      <c r="O54" s="132"/>
      <c r="P54" s="132"/>
    </row>
    <row r="55" customFormat="false" ht="15" hidden="false" customHeight="true" outlineLevel="0" collapsed="false">
      <c r="B55" s="106" t="s">
        <v>325</v>
      </c>
      <c r="C55" s="106"/>
      <c r="D55" s="106"/>
      <c r="E55" s="144" t="n">
        <v>0</v>
      </c>
      <c r="F55" s="144" t="n">
        <v>0</v>
      </c>
      <c r="G55" s="144" t="n">
        <v>0</v>
      </c>
      <c r="H55" s="144" t="n">
        <v>0</v>
      </c>
      <c r="I55" s="144" t="n">
        <v>0</v>
      </c>
      <c r="J55" s="144" t="n">
        <v>0</v>
      </c>
      <c r="K55" s="144" t="n">
        <v>0</v>
      </c>
      <c r="L55" s="144" t="n">
        <v>0</v>
      </c>
      <c r="M55" s="165"/>
      <c r="N55" s="144"/>
      <c r="O55" s="144"/>
      <c r="P55" s="144"/>
    </row>
  </sheetData>
  <mergeCells count="13">
    <mergeCell ref="B3:E3"/>
    <mergeCell ref="B25:H25"/>
    <mergeCell ref="J25:W25"/>
    <mergeCell ref="J26:K26"/>
    <mergeCell ref="B40:P40"/>
    <mergeCell ref="B41:D41"/>
    <mergeCell ref="B42:D42"/>
    <mergeCell ref="B43:D43"/>
    <mergeCell ref="B44:D44"/>
    <mergeCell ref="B45:D45"/>
    <mergeCell ref="B46:D46"/>
    <mergeCell ref="B47:D47"/>
    <mergeCell ref="B48:D4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Z3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63" width="24.71"/>
    <col collapsed="false" customWidth="true" hidden="false" outlineLevel="0" max="3" min="3" style="63" width="19.57"/>
    <col collapsed="false" customWidth="true" hidden="false" outlineLevel="0" max="4" min="4" style="63" width="22.42"/>
    <col collapsed="false" customWidth="true" hidden="false" outlineLevel="0" max="5" min="5" style="63" width="16"/>
    <col collapsed="false" customWidth="true" hidden="false" outlineLevel="0" max="6" min="6" style="63" width="13.15"/>
    <col collapsed="false" customWidth="true" hidden="false" outlineLevel="0" max="7" min="7" style="63" width="20.57"/>
    <col collapsed="false" customWidth="true" hidden="false" outlineLevel="0" max="9" min="8" style="63" width="16.43"/>
    <col collapsed="false" customWidth="true" hidden="false" outlineLevel="0" max="10" min="10" style="63" width="17.42"/>
    <col collapsed="false" customWidth="true" hidden="false" outlineLevel="0" max="11" min="11" style="63" width="21.71"/>
    <col collapsed="false" customWidth="true" hidden="false" outlineLevel="0" max="12" min="12" style="63" width="16.29"/>
    <col collapsed="false" customWidth="true" hidden="false" outlineLevel="0" max="14" min="14" style="63" width="36.42"/>
    <col collapsed="false" customWidth="true" hidden="false" outlineLevel="0" max="15" min="15" style="63" width="20.57"/>
    <col collapsed="false" customWidth="true" hidden="false" outlineLevel="0" max="16" min="16" style="63" width="13.42"/>
    <col collapsed="false" customWidth="true" hidden="false" outlineLevel="0" max="17" min="17" style="63" width="20.57"/>
    <col collapsed="false" customWidth="true" hidden="false" outlineLevel="0" max="18" min="18" style="63" width="13.42"/>
    <col collapsed="false" customWidth="true" hidden="false" outlineLevel="0" max="19" min="19" style="63" width="20.57"/>
    <col collapsed="false" customWidth="true" hidden="false" outlineLevel="0" max="20" min="20" style="63" width="19"/>
    <col collapsed="false" customWidth="true" hidden="false" outlineLevel="0" max="21" min="21" style="63" width="20.57"/>
    <col collapsed="false" customWidth="true" hidden="false" outlineLevel="0" max="24" min="22" style="63" width="13.42"/>
    <col collapsed="false" customWidth="true" hidden="false" outlineLevel="0" max="25" min="25" style="63" width="20.57"/>
    <col collapsed="false" customWidth="true" hidden="false" outlineLevel="0" max="26" min="26" style="63" width="20"/>
    <col collapsed="false" customWidth="true" hidden="false" outlineLevel="0" max="27" min="27" style="63" width="20.57"/>
    <col collapsed="false" customWidth="true" hidden="false" outlineLevel="0" max="30" min="28" style="63" width="13.42"/>
    <col collapsed="false" customWidth="true" hidden="false" outlineLevel="0" max="31" min="31" style="63" width="20.57"/>
    <col collapsed="false" customWidth="true" hidden="false" outlineLevel="0" max="32" min="32" style="63" width="20"/>
    <col collapsed="false" customWidth="true" hidden="false" outlineLevel="0" max="33" min="33" style="63" width="20.57"/>
    <col collapsed="false" customWidth="true" hidden="false" outlineLevel="0" max="34" min="34" style="63" width="13.42"/>
    <col collapsed="false" customWidth="true" hidden="false" outlineLevel="0" max="35" min="35" style="63" width="20.42"/>
    <col collapsed="false" customWidth="true" hidden="false" outlineLevel="0" max="36" min="36" style="63" width="13.42"/>
    <col collapsed="false" customWidth="true" hidden="false" outlineLevel="0" max="37" min="37" style="63" width="20.57"/>
    <col collapsed="false" customWidth="true" hidden="false" outlineLevel="0" max="39" min="38" style="63" width="20.42"/>
    <col collapsed="false" customWidth="true" hidden="false" outlineLevel="0" max="41" min="40" style="63" width="14.42"/>
    <col collapsed="false" customWidth="true" hidden="false" outlineLevel="0" max="43" min="42" style="63" width="20.42"/>
    <col collapsed="false" customWidth="true" hidden="false" outlineLevel="0" max="44" min="44" style="63" width="20"/>
    <col collapsed="false" customWidth="true" hidden="false" outlineLevel="0" max="46" min="46" style="63" width="14"/>
    <col collapsed="false" customWidth="true" hidden="false" outlineLevel="0" max="52" min="52" style="63" width="14.42"/>
  </cols>
  <sheetData>
    <row r="2" customFormat="false" ht="15" hidden="false" customHeight="true" outlineLevel="0" collapsed="false">
      <c r="B2" s="178" t="s">
        <v>326</v>
      </c>
      <c r="C2" s="178"/>
      <c r="D2" s="178"/>
      <c r="E2" s="178"/>
      <c r="F2" s="178"/>
      <c r="G2" s="178"/>
      <c r="H2" s="178"/>
      <c r="I2" s="178"/>
      <c r="J2" s="178"/>
      <c r="K2" s="178"/>
      <c r="L2" s="179"/>
      <c r="N2" s="180" t="s">
        <v>327</v>
      </c>
      <c r="O2" s="180" t="s">
        <v>328</v>
      </c>
      <c r="P2" s="180" t="s">
        <v>329</v>
      </c>
      <c r="Q2" s="180" t="s">
        <v>330</v>
      </c>
      <c r="R2" s="180" t="s">
        <v>331</v>
      </c>
      <c r="S2" s="181" t="s">
        <v>332</v>
      </c>
      <c r="T2" s="181" t="s">
        <v>333</v>
      </c>
      <c r="U2" s="180" t="s">
        <v>334</v>
      </c>
      <c r="V2" s="180" t="s">
        <v>335</v>
      </c>
      <c r="W2" s="181" t="s">
        <v>336</v>
      </c>
      <c r="X2" s="180" t="s">
        <v>337</v>
      </c>
      <c r="Y2" s="180" t="s">
        <v>338</v>
      </c>
      <c r="Z2" s="180" t="s">
        <v>339</v>
      </c>
      <c r="AA2" s="181" t="s">
        <v>340</v>
      </c>
      <c r="AB2" s="181" t="s">
        <v>341</v>
      </c>
      <c r="AC2" s="181" t="s">
        <v>342</v>
      </c>
      <c r="AD2" s="180" t="s">
        <v>343</v>
      </c>
      <c r="AE2" s="180" t="s">
        <v>344</v>
      </c>
      <c r="AF2" s="180" t="s">
        <v>345</v>
      </c>
      <c r="AG2" s="181" t="s">
        <v>346</v>
      </c>
      <c r="AH2" s="181" t="s">
        <v>347</v>
      </c>
      <c r="AI2" s="181" t="s">
        <v>348</v>
      </c>
      <c r="AJ2" s="180" t="s">
        <v>349</v>
      </c>
      <c r="AK2" s="181" t="s">
        <v>350</v>
      </c>
      <c r="AL2" s="181" t="s">
        <v>351</v>
      </c>
      <c r="AM2" s="181" t="s">
        <v>352</v>
      </c>
      <c r="AN2" s="181" t="s">
        <v>353</v>
      </c>
      <c r="AO2" s="181" t="s">
        <v>354</v>
      </c>
      <c r="AP2" s="181" t="s">
        <v>355</v>
      </c>
      <c r="AQ2" s="182" t="s">
        <v>356</v>
      </c>
      <c r="AR2" s="182" t="s">
        <v>357</v>
      </c>
    </row>
    <row r="3" customFormat="false" ht="15" hidden="false" customHeight="true" outlineLevel="0" collapsed="false">
      <c r="B3" s="182" t="s">
        <v>358</v>
      </c>
      <c r="C3" s="182" t="s">
        <v>96</v>
      </c>
      <c r="D3" s="182" t="s">
        <v>359</v>
      </c>
      <c r="E3" s="182" t="s">
        <v>360</v>
      </c>
      <c r="F3" s="182" t="s">
        <v>361</v>
      </c>
      <c r="G3" s="182" t="s">
        <v>362</v>
      </c>
      <c r="H3" s="182" t="s">
        <v>363</v>
      </c>
      <c r="I3" s="182" t="s">
        <v>94</v>
      </c>
      <c r="J3" s="182" t="s">
        <v>92</v>
      </c>
      <c r="K3" s="182" t="s">
        <v>364</v>
      </c>
      <c r="L3" s="182" t="s">
        <v>365</v>
      </c>
      <c r="N3" s="183" t="s">
        <v>366</v>
      </c>
      <c r="O3" s="183"/>
      <c r="P3" s="183"/>
      <c r="Q3" s="183"/>
      <c r="R3" s="183"/>
      <c r="S3" s="184"/>
      <c r="T3" s="184"/>
      <c r="U3" s="183"/>
      <c r="V3" s="183"/>
      <c r="W3" s="184"/>
      <c r="X3" s="183"/>
      <c r="Y3" s="183"/>
      <c r="Z3" s="183"/>
      <c r="AA3" s="184"/>
      <c r="AB3" s="184"/>
      <c r="AC3" s="184"/>
      <c r="AD3" s="183"/>
      <c r="AE3" s="183"/>
      <c r="AF3" s="183"/>
      <c r="AG3" s="184"/>
      <c r="AH3" s="184"/>
      <c r="AI3" s="184"/>
      <c r="AJ3" s="183"/>
      <c r="AK3" s="184"/>
      <c r="AL3" s="184"/>
      <c r="AM3" s="184"/>
      <c r="AN3" s="184"/>
      <c r="AO3" s="184"/>
      <c r="AP3" s="184"/>
      <c r="AV3" s="185"/>
      <c r="AW3" s="185"/>
      <c r="AY3" s="186"/>
      <c r="AZ3" s="186"/>
    </row>
    <row r="4" customFormat="false" ht="15" hidden="false" customHeight="true" outlineLevel="0" collapsed="false">
      <c r="B4" s="187" t="s">
        <v>24</v>
      </c>
      <c r="C4" s="188" t="s">
        <v>172</v>
      </c>
      <c r="D4" s="189" t="s">
        <v>83</v>
      </c>
      <c r="E4" s="189" t="s">
        <v>173</v>
      </c>
      <c r="F4" s="187" t="n">
        <v>5</v>
      </c>
      <c r="G4" s="190" t="n">
        <v>800</v>
      </c>
      <c r="H4" s="187" t="s">
        <v>174</v>
      </c>
      <c r="I4" s="191" t="n">
        <v>45992</v>
      </c>
      <c r="J4" s="192" t="s">
        <v>175</v>
      </c>
      <c r="K4" s="193"/>
      <c r="L4" s="194"/>
      <c r="N4" s="181"/>
      <c r="O4" s="195" t="s">
        <v>24</v>
      </c>
      <c r="P4" s="184"/>
      <c r="Q4" s="184"/>
      <c r="R4" s="184"/>
      <c r="S4" s="184"/>
      <c r="T4" s="184"/>
      <c r="U4" s="195" t="s">
        <v>28</v>
      </c>
      <c r="V4" s="184"/>
      <c r="W4" s="184"/>
      <c r="X4" s="184"/>
      <c r="Y4" s="184"/>
      <c r="Z4" s="184"/>
      <c r="AA4" s="195" t="s">
        <v>31</v>
      </c>
      <c r="AB4" s="184"/>
      <c r="AC4" s="184"/>
      <c r="AD4" s="184"/>
      <c r="AE4" s="184"/>
      <c r="AF4" s="184"/>
      <c r="AG4" s="195" t="s">
        <v>34</v>
      </c>
      <c r="AH4" s="184"/>
      <c r="AI4" s="184"/>
      <c r="AJ4" s="184"/>
      <c r="AK4" s="184"/>
      <c r="AL4" s="184"/>
      <c r="AM4" s="195" t="s">
        <v>38</v>
      </c>
      <c r="AN4" s="184"/>
      <c r="AO4" s="184"/>
      <c r="AP4" s="184"/>
      <c r="AQ4" s="184"/>
      <c r="AR4" s="184"/>
      <c r="AV4" s="196"/>
      <c r="AW4" s="196"/>
      <c r="AY4" s="197"/>
      <c r="AZ4" s="197"/>
    </row>
    <row r="5" customFormat="false" ht="15" hidden="false" customHeight="true" outlineLevel="0" collapsed="false">
      <c r="B5" s="187" t="s">
        <v>24</v>
      </c>
      <c r="C5" s="188" t="s">
        <v>172</v>
      </c>
      <c r="D5" s="189" t="s">
        <v>176</v>
      </c>
      <c r="E5" s="189" t="s">
        <v>177</v>
      </c>
      <c r="F5" s="187" t="n">
        <v>5</v>
      </c>
      <c r="G5" s="190" t="n">
        <v>1200</v>
      </c>
      <c r="H5" s="187" t="s">
        <v>178</v>
      </c>
      <c r="I5" s="191" t="n">
        <v>45992</v>
      </c>
      <c r="J5" s="192" t="s">
        <v>175</v>
      </c>
      <c r="K5" s="198"/>
      <c r="L5" s="191"/>
      <c r="N5" s="199"/>
      <c r="O5" s="200" t="s">
        <v>90</v>
      </c>
      <c r="P5" s="201" t="s">
        <v>367</v>
      </c>
      <c r="Q5" s="201" t="s">
        <v>91</v>
      </c>
      <c r="R5" s="201" t="s">
        <v>92</v>
      </c>
      <c r="S5" s="201" t="s">
        <v>101</v>
      </c>
      <c r="T5" s="201" t="s">
        <v>94</v>
      </c>
      <c r="U5" s="200" t="s">
        <v>90</v>
      </c>
      <c r="V5" s="201" t="s">
        <v>367</v>
      </c>
      <c r="W5" s="201" t="s">
        <v>91</v>
      </c>
      <c r="X5" s="201" t="s">
        <v>92</v>
      </c>
      <c r="Y5" s="201" t="s">
        <v>101</v>
      </c>
      <c r="Z5" s="201" t="s">
        <v>94</v>
      </c>
      <c r="AA5" s="200" t="s">
        <v>90</v>
      </c>
      <c r="AB5" s="201" t="s">
        <v>367</v>
      </c>
      <c r="AC5" s="201" t="s">
        <v>91</v>
      </c>
      <c r="AD5" s="201" t="s">
        <v>92</v>
      </c>
      <c r="AE5" s="201" t="s">
        <v>101</v>
      </c>
      <c r="AF5" s="201" t="s">
        <v>94</v>
      </c>
      <c r="AG5" s="200" t="s">
        <v>90</v>
      </c>
      <c r="AH5" s="201" t="s">
        <v>367</v>
      </c>
      <c r="AI5" s="201" t="s">
        <v>91</v>
      </c>
      <c r="AJ5" s="201" t="s">
        <v>92</v>
      </c>
      <c r="AK5" s="201" t="s">
        <v>101</v>
      </c>
      <c r="AL5" s="201" t="s">
        <v>94</v>
      </c>
      <c r="AM5" s="200" t="s">
        <v>90</v>
      </c>
      <c r="AN5" s="201" t="s">
        <v>367</v>
      </c>
      <c r="AO5" s="201" t="s">
        <v>91</v>
      </c>
      <c r="AP5" s="201" t="s">
        <v>92</v>
      </c>
      <c r="AQ5" s="201" t="s">
        <v>101</v>
      </c>
      <c r="AR5" s="201" t="s">
        <v>94</v>
      </c>
      <c r="AV5" s="196"/>
      <c r="AW5" s="196"/>
      <c r="AY5" s="197"/>
      <c r="AZ5" s="197"/>
    </row>
    <row r="6" customFormat="false" ht="15" hidden="false" customHeight="true" outlineLevel="0" collapsed="false">
      <c r="B6" s="187" t="s">
        <v>24</v>
      </c>
      <c r="C6" s="188" t="s">
        <v>207</v>
      </c>
      <c r="D6" s="189"/>
      <c r="E6" s="189"/>
      <c r="F6" s="187"/>
      <c r="G6" s="190"/>
      <c r="H6" s="187"/>
      <c r="I6" s="191"/>
      <c r="J6" s="191"/>
      <c r="K6" s="198"/>
      <c r="L6" s="191"/>
      <c r="N6" s="202" t="s">
        <v>368</v>
      </c>
      <c r="O6" s="203" t="n">
        <f aca="false">SUM(O7,O31,O45,O50,O53)</f>
        <v>24392.12</v>
      </c>
      <c r="P6" s="204"/>
      <c r="Q6" s="204"/>
      <c r="R6" s="204"/>
      <c r="S6" s="204"/>
      <c r="T6" s="205"/>
      <c r="U6" s="203" t="n">
        <f aca="false">SUM(U7,U31,U45,U50,U53)</f>
        <v>25629.34</v>
      </c>
      <c r="V6" s="204"/>
      <c r="W6" s="204"/>
      <c r="X6" s="204"/>
      <c r="Y6" s="204"/>
      <c r="Z6" s="205"/>
      <c r="AA6" s="203" t="n">
        <f aca="false">SUM(AA7,AA31,AA45,AA50,AA53)</f>
        <v>25179.49</v>
      </c>
      <c r="AB6" s="204"/>
      <c r="AC6" s="204"/>
      <c r="AD6" s="204"/>
      <c r="AE6" s="204"/>
      <c r="AF6" s="205"/>
      <c r="AG6" s="203" t="n">
        <f aca="false">SUM(AG7,AG31,AG45,AG50,AG53)</f>
        <v>24679.49</v>
      </c>
      <c r="AH6" s="204"/>
      <c r="AI6" s="204"/>
      <c r="AJ6" s="204"/>
      <c r="AK6" s="204"/>
      <c r="AL6" s="205"/>
      <c r="AM6" s="203" t="n">
        <f aca="false">SUM(AM7,AM31,AM45,AM50,AM53)</f>
        <v>24679.49</v>
      </c>
      <c r="AN6" s="204"/>
      <c r="AO6" s="204"/>
      <c r="AP6" s="204"/>
      <c r="AQ6" s="204"/>
      <c r="AR6" s="205"/>
      <c r="AV6" s="196"/>
      <c r="AW6" s="196"/>
      <c r="AY6" s="197"/>
      <c r="AZ6" s="197"/>
    </row>
    <row r="7" customFormat="false" ht="15" hidden="false" customHeight="true" outlineLevel="0" collapsed="false">
      <c r="B7" s="187" t="s">
        <v>24</v>
      </c>
      <c r="C7" s="188" t="s">
        <v>207</v>
      </c>
      <c r="D7" s="189"/>
      <c r="E7" s="189"/>
      <c r="F7" s="187"/>
      <c r="G7" s="190"/>
      <c r="H7" s="187"/>
      <c r="I7" s="191"/>
      <c r="J7" s="191"/>
      <c r="K7" s="198"/>
      <c r="L7" s="191"/>
      <c r="N7" s="199" t="s">
        <v>369</v>
      </c>
      <c r="O7" s="206" t="n">
        <f aca="false">SUM(O8:O30)</f>
        <v>17582.9</v>
      </c>
      <c r="P7" s="201"/>
      <c r="Q7" s="201"/>
      <c r="R7" s="201"/>
      <c r="S7" s="201"/>
      <c r="T7" s="207"/>
      <c r="U7" s="206" t="n">
        <f aca="false">SUM(U8:U30)</f>
        <v>18554.1</v>
      </c>
      <c r="V7" s="201"/>
      <c r="W7" s="201"/>
      <c r="X7" s="201"/>
      <c r="Y7" s="201"/>
      <c r="Z7" s="207"/>
      <c r="AA7" s="206" t="n">
        <f aca="false">SUM(AA8:AA30)</f>
        <v>17894.9</v>
      </c>
      <c r="AB7" s="201"/>
      <c r="AC7" s="201"/>
      <c r="AD7" s="201"/>
      <c r="AE7" s="201"/>
      <c r="AF7" s="207"/>
      <c r="AG7" s="206" t="n">
        <f aca="false">SUM(AG8:AG30)</f>
        <v>17394.9</v>
      </c>
      <c r="AH7" s="201"/>
      <c r="AI7" s="201"/>
      <c r="AJ7" s="201"/>
      <c r="AK7" s="201"/>
      <c r="AL7" s="207"/>
      <c r="AM7" s="206" t="n">
        <f aca="false">SUM(AM8:AM30)</f>
        <v>17394.9</v>
      </c>
      <c r="AN7" s="201"/>
      <c r="AO7" s="201"/>
      <c r="AP7" s="201"/>
      <c r="AQ7" s="201"/>
      <c r="AR7" s="207"/>
      <c r="AV7" s="196"/>
      <c r="AW7" s="196"/>
      <c r="AY7" s="197"/>
      <c r="AZ7" s="197"/>
    </row>
    <row r="8" customFormat="false" ht="15" hidden="false" customHeight="true" outlineLevel="0" collapsed="false">
      <c r="B8" s="187" t="s">
        <v>24</v>
      </c>
      <c r="C8" s="188" t="s">
        <v>172</v>
      </c>
      <c r="D8" s="189" t="s">
        <v>82</v>
      </c>
      <c r="E8" s="189" t="s">
        <v>177</v>
      </c>
      <c r="F8" s="187" t="n">
        <v>5</v>
      </c>
      <c r="G8" s="190" t="n">
        <v>750</v>
      </c>
      <c r="H8" s="187" t="s">
        <v>178</v>
      </c>
      <c r="I8" s="191" t="n">
        <v>46023</v>
      </c>
      <c r="J8" s="191" t="s">
        <v>175</v>
      </c>
      <c r="K8" s="198"/>
      <c r="L8" s="191"/>
      <c r="N8" s="189" t="s">
        <v>370</v>
      </c>
      <c r="O8" s="208" t="n">
        <f aca="false">2696+750</f>
        <v>3446</v>
      </c>
      <c r="P8" s="187" t="n">
        <v>20</v>
      </c>
      <c r="Q8" s="187" t="s">
        <v>187</v>
      </c>
      <c r="R8" s="187" t="s">
        <v>175</v>
      </c>
      <c r="S8" s="209"/>
      <c r="T8" s="191"/>
      <c r="U8" s="208" t="n">
        <f aca="false">2696+750</f>
        <v>3446</v>
      </c>
      <c r="V8" s="187" t="n">
        <v>20</v>
      </c>
      <c r="W8" s="187"/>
      <c r="X8" s="187" t="s">
        <v>175</v>
      </c>
      <c r="Y8" s="209"/>
      <c r="Z8" s="191"/>
      <c r="AA8" s="208" t="n">
        <f aca="false">2696+750</f>
        <v>3446</v>
      </c>
      <c r="AB8" s="187" t="n">
        <v>20</v>
      </c>
      <c r="AC8" s="187"/>
      <c r="AD8" s="187"/>
      <c r="AE8" s="209"/>
      <c r="AF8" s="191"/>
      <c r="AG8" s="208" t="n">
        <f aca="false">2696+750</f>
        <v>3446</v>
      </c>
      <c r="AH8" s="187" t="n">
        <v>20</v>
      </c>
      <c r="AI8" s="187"/>
      <c r="AJ8" s="187"/>
      <c r="AK8" s="209"/>
      <c r="AL8" s="191"/>
      <c r="AM8" s="208" t="n">
        <f aca="false">2696+750</f>
        <v>3446</v>
      </c>
      <c r="AN8" s="187" t="n">
        <v>20</v>
      </c>
      <c r="AO8" s="187"/>
      <c r="AP8" s="187"/>
      <c r="AQ8" s="209"/>
      <c r="AR8" s="191"/>
      <c r="AY8" s="197"/>
      <c r="AZ8" s="197"/>
    </row>
    <row r="9" customFormat="false" ht="15" hidden="false" customHeight="true" outlineLevel="0" collapsed="false">
      <c r="B9" s="187" t="s">
        <v>24</v>
      </c>
      <c r="C9" s="210" t="s">
        <v>172</v>
      </c>
      <c r="D9" s="211" t="s">
        <v>72</v>
      </c>
      <c r="E9" s="211" t="s">
        <v>177</v>
      </c>
      <c r="F9" s="212" t="n">
        <v>6</v>
      </c>
      <c r="G9" s="213" t="n">
        <v>2000</v>
      </c>
      <c r="H9" s="212" t="s">
        <v>179</v>
      </c>
      <c r="I9" s="214" t="n">
        <v>46023</v>
      </c>
      <c r="J9" s="215" t="s">
        <v>175</v>
      </c>
      <c r="K9" s="216"/>
      <c r="L9" s="217"/>
      <c r="N9" s="218" t="s">
        <v>218</v>
      </c>
      <c r="O9" s="219"/>
      <c r="P9" s="220"/>
      <c r="Q9" s="221"/>
      <c r="R9" s="220"/>
      <c r="S9" s="209"/>
      <c r="T9" s="191"/>
      <c r="U9" s="219" t="n">
        <v>457.6</v>
      </c>
      <c r="V9" s="187"/>
      <c r="W9" s="187"/>
      <c r="X9" s="187"/>
      <c r="Y9" s="209"/>
      <c r="Z9" s="191"/>
      <c r="AA9" s="208"/>
      <c r="AB9" s="187"/>
      <c r="AC9" s="187"/>
      <c r="AD9" s="187"/>
      <c r="AE9" s="209"/>
      <c r="AF9" s="191"/>
      <c r="AG9" s="208"/>
      <c r="AH9" s="187"/>
      <c r="AI9" s="187"/>
      <c r="AJ9" s="187"/>
      <c r="AK9" s="209"/>
      <c r="AL9" s="191"/>
      <c r="AM9" s="208"/>
      <c r="AN9" s="187"/>
      <c r="AO9" s="187"/>
      <c r="AP9" s="187"/>
      <c r="AQ9" s="209"/>
      <c r="AR9" s="191"/>
      <c r="AY9" s="197"/>
      <c r="AZ9" s="197"/>
    </row>
    <row r="10" customFormat="false" ht="15" hidden="false" customHeight="true" outlineLevel="0" collapsed="false">
      <c r="B10" s="187" t="s">
        <v>24</v>
      </c>
      <c r="C10" s="188" t="s">
        <v>172</v>
      </c>
      <c r="D10" s="189"/>
      <c r="E10" s="189"/>
      <c r="F10" s="187"/>
      <c r="G10" s="190"/>
      <c r="H10" s="187"/>
      <c r="I10" s="191"/>
      <c r="J10" s="192"/>
      <c r="K10" s="198"/>
      <c r="L10" s="191"/>
      <c r="N10" s="222" t="s">
        <v>371</v>
      </c>
      <c r="O10" s="223"/>
      <c r="P10" s="220"/>
      <c r="Q10" s="221"/>
      <c r="R10" s="220"/>
      <c r="S10" s="209"/>
      <c r="T10" s="191"/>
      <c r="U10" s="208"/>
      <c r="V10" s="187"/>
      <c r="W10" s="187"/>
      <c r="X10" s="187"/>
      <c r="Y10" s="209"/>
      <c r="Z10" s="191"/>
      <c r="AA10" s="208"/>
      <c r="AB10" s="187"/>
      <c r="AC10" s="187"/>
      <c r="AD10" s="187"/>
      <c r="AE10" s="209"/>
      <c r="AF10" s="191"/>
      <c r="AG10" s="208"/>
      <c r="AH10" s="187"/>
      <c r="AI10" s="187"/>
      <c r="AJ10" s="187"/>
      <c r="AK10" s="209"/>
      <c r="AL10" s="191"/>
      <c r="AM10" s="208"/>
      <c r="AN10" s="187"/>
      <c r="AO10" s="187"/>
      <c r="AP10" s="187"/>
      <c r="AQ10" s="209"/>
      <c r="AR10" s="191"/>
      <c r="AV10" s="185"/>
      <c r="AW10" s="185"/>
      <c r="AY10" s="186"/>
      <c r="AZ10" s="186"/>
    </row>
    <row r="11" customFormat="false" ht="15" hidden="false" customHeight="true" outlineLevel="0" collapsed="false">
      <c r="B11" s="187" t="s">
        <v>24</v>
      </c>
      <c r="C11" s="188" t="s">
        <v>172</v>
      </c>
      <c r="D11" s="189" t="s">
        <v>75</v>
      </c>
      <c r="E11" s="189" t="s">
        <v>180</v>
      </c>
      <c r="F11" s="187" t="n">
        <v>10</v>
      </c>
      <c r="G11" s="190" t="n">
        <v>2500</v>
      </c>
      <c r="H11" s="187" t="s">
        <v>181</v>
      </c>
      <c r="I11" s="191" t="n">
        <v>45992</v>
      </c>
      <c r="J11" s="192" t="s">
        <v>175</v>
      </c>
      <c r="K11" s="198"/>
      <c r="L11" s="191"/>
      <c r="N11" s="189" t="s">
        <v>219</v>
      </c>
      <c r="O11" s="208" t="n">
        <v>1834</v>
      </c>
      <c r="P11" s="187" t="n">
        <v>23</v>
      </c>
      <c r="Q11" s="187" t="s">
        <v>187</v>
      </c>
      <c r="R11" s="187" t="s">
        <v>175</v>
      </c>
      <c r="S11" s="209"/>
      <c r="T11" s="191"/>
      <c r="U11" s="208" t="n">
        <v>1834</v>
      </c>
      <c r="V11" s="187" t="n">
        <v>23</v>
      </c>
      <c r="W11" s="187"/>
      <c r="X11" s="187" t="s">
        <v>175</v>
      </c>
      <c r="Y11" s="209"/>
      <c r="Z11" s="191"/>
      <c r="AA11" s="208" t="n">
        <v>1834</v>
      </c>
      <c r="AB11" s="187" t="n">
        <v>23</v>
      </c>
      <c r="AC11" s="187"/>
      <c r="AD11" s="187"/>
      <c r="AE11" s="209"/>
      <c r="AF11" s="191"/>
      <c r="AG11" s="208" t="n">
        <v>1834</v>
      </c>
      <c r="AH11" s="187" t="n">
        <v>23</v>
      </c>
      <c r="AI11" s="187"/>
      <c r="AJ11" s="187"/>
      <c r="AK11" s="209"/>
      <c r="AL11" s="191"/>
      <c r="AM11" s="208" t="n">
        <v>1834</v>
      </c>
      <c r="AN11" s="187" t="n">
        <v>23</v>
      </c>
      <c r="AO11" s="187"/>
      <c r="AP11" s="187"/>
      <c r="AQ11" s="209"/>
      <c r="AR11" s="191"/>
      <c r="AV11" s="196"/>
      <c r="AW11" s="196"/>
      <c r="AY11" s="197"/>
      <c r="AZ11" s="197"/>
    </row>
    <row r="12" customFormat="false" ht="15" hidden="false" customHeight="true" outlineLevel="0" collapsed="false">
      <c r="B12" s="187" t="s">
        <v>24</v>
      </c>
      <c r="C12" s="188" t="s">
        <v>172</v>
      </c>
      <c r="D12" s="189" t="s">
        <v>182</v>
      </c>
      <c r="E12" s="189" t="s">
        <v>177</v>
      </c>
      <c r="F12" s="187" t="n">
        <v>12</v>
      </c>
      <c r="G12" s="190" t="n">
        <v>1500</v>
      </c>
      <c r="H12" s="187" t="s">
        <v>174</v>
      </c>
      <c r="I12" s="191" t="n">
        <v>46023</v>
      </c>
      <c r="J12" s="192" t="s">
        <v>175</v>
      </c>
      <c r="K12" s="198"/>
      <c r="L12" s="191"/>
      <c r="N12" s="189" t="s">
        <v>372</v>
      </c>
      <c r="O12" s="208" t="n">
        <v>2500</v>
      </c>
      <c r="P12" s="187" t="n">
        <v>20</v>
      </c>
      <c r="Q12" s="187" t="s">
        <v>187</v>
      </c>
      <c r="R12" s="187" t="s">
        <v>175</v>
      </c>
      <c r="S12" s="209"/>
      <c r="T12" s="191"/>
      <c r="U12" s="208" t="n">
        <v>2500</v>
      </c>
      <c r="V12" s="187" t="n">
        <v>20</v>
      </c>
      <c r="W12" s="187"/>
      <c r="X12" s="187" t="s">
        <v>175</v>
      </c>
      <c r="Y12" s="209"/>
      <c r="Z12" s="191"/>
      <c r="AA12" s="208" t="n">
        <v>2500</v>
      </c>
      <c r="AB12" s="187" t="n">
        <v>20</v>
      </c>
      <c r="AC12" s="187"/>
      <c r="AD12" s="187"/>
      <c r="AE12" s="209"/>
      <c r="AF12" s="191"/>
      <c r="AG12" s="208" t="n">
        <v>2500</v>
      </c>
      <c r="AH12" s="187" t="n">
        <v>20</v>
      </c>
      <c r="AI12" s="187"/>
      <c r="AJ12" s="187"/>
      <c r="AK12" s="209"/>
      <c r="AL12" s="191"/>
      <c r="AM12" s="208" t="n">
        <v>2500</v>
      </c>
      <c r="AN12" s="187" t="n">
        <v>20</v>
      </c>
      <c r="AO12" s="187"/>
      <c r="AP12" s="187"/>
      <c r="AQ12" s="209"/>
      <c r="AR12" s="191"/>
      <c r="AV12" s="196"/>
      <c r="AW12" s="196"/>
      <c r="AY12" s="197"/>
      <c r="AZ12" s="197"/>
    </row>
    <row r="13" customFormat="false" ht="15" hidden="false" customHeight="true" outlineLevel="0" collapsed="false">
      <c r="B13" s="187" t="s">
        <v>24</v>
      </c>
      <c r="C13" s="188" t="s">
        <v>172</v>
      </c>
      <c r="D13" s="189" t="s">
        <v>183</v>
      </c>
      <c r="E13" s="189" t="s">
        <v>184</v>
      </c>
      <c r="F13" s="187" t="n">
        <v>16</v>
      </c>
      <c r="G13" s="190" t="n">
        <v>600</v>
      </c>
      <c r="H13" s="187" t="s">
        <v>174</v>
      </c>
      <c r="I13" s="191" t="n">
        <v>46023</v>
      </c>
      <c r="J13" s="192" t="s">
        <v>175</v>
      </c>
      <c r="K13" s="198"/>
      <c r="L13" s="191"/>
      <c r="N13" s="189" t="s">
        <v>373</v>
      </c>
      <c r="O13" s="208" t="n">
        <v>2500</v>
      </c>
      <c r="P13" s="187" t="n">
        <v>13</v>
      </c>
      <c r="Q13" s="187" t="s">
        <v>187</v>
      </c>
      <c r="R13" s="187" t="s">
        <v>175</v>
      </c>
      <c r="S13" s="209"/>
      <c r="T13" s="191"/>
      <c r="U13" s="208" t="n">
        <v>2500</v>
      </c>
      <c r="V13" s="187" t="n">
        <v>13</v>
      </c>
      <c r="W13" s="187"/>
      <c r="X13" s="187" t="s">
        <v>175</v>
      </c>
      <c r="Y13" s="209"/>
      <c r="Z13" s="191"/>
      <c r="AA13" s="208" t="n">
        <v>2500</v>
      </c>
      <c r="AB13" s="187" t="n">
        <v>13</v>
      </c>
      <c r="AC13" s="187"/>
      <c r="AD13" s="187"/>
      <c r="AE13" s="209"/>
      <c r="AF13" s="191"/>
      <c r="AG13" s="208" t="n">
        <v>2500</v>
      </c>
      <c r="AH13" s="187" t="n">
        <v>13</v>
      </c>
      <c r="AI13" s="187"/>
      <c r="AJ13" s="187"/>
      <c r="AK13" s="209"/>
      <c r="AL13" s="191"/>
      <c r="AM13" s="208" t="n">
        <v>2500</v>
      </c>
      <c r="AN13" s="187" t="n">
        <v>13</v>
      </c>
      <c r="AO13" s="187"/>
      <c r="AP13" s="187"/>
      <c r="AQ13" s="209"/>
      <c r="AR13" s="191"/>
      <c r="AV13" s="185"/>
      <c r="AW13" s="185"/>
      <c r="AY13" s="186"/>
      <c r="AZ13" s="186"/>
    </row>
    <row r="14" customFormat="false" ht="15" hidden="false" customHeight="true" outlineLevel="0" collapsed="false">
      <c r="B14" s="187" t="s">
        <v>24</v>
      </c>
      <c r="C14" s="188" t="s">
        <v>172</v>
      </c>
      <c r="D14" s="189"/>
      <c r="E14" s="189"/>
      <c r="F14" s="187"/>
      <c r="G14" s="190"/>
      <c r="H14" s="187"/>
      <c r="I14" s="191"/>
      <c r="J14" s="192"/>
      <c r="K14" s="198"/>
      <c r="L14" s="191"/>
      <c r="N14" s="189" t="s">
        <v>374</v>
      </c>
      <c r="O14" s="208" t="n">
        <v>2280.9</v>
      </c>
      <c r="P14" s="187" t="n">
        <v>25</v>
      </c>
      <c r="Q14" s="187" t="s">
        <v>187</v>
      </c>
      <c r="R14" s="187" t="s">
        <v>175</v>
      </c>
      <c r="S14" s="209"/>
      <c r="T14" s="191"/>
      <c r="U14" s="208" t="n">
        <v>2280.9</v>
      </c>
      <c r="V14" s="187" t="n">
        <v>25</v>
      </c>
      <c r="W14" s="187"/>
      <c r="X14" s="187"/>
      <c r="Y14" s="209"/>
      <c r="Z14" s="191"/>
      <c r="AA14" s="208" t="n">
        <v>2280.9</v>
      </c>
      <c r="AB14" s="187" t="n">
        <v>25</v>
      </c>
      <c r="AC14" s="187"/>
      <c r="AD14" s="187"/>
      <c r="AE14" s="209"/>
      <c r="AF14" s="191"/>
      <c r="AG14" s="208" t="n">
        <v>2280.9</v>
      </c>
      <c r="AH14" s="187" t="n">
        <v>25</v>
      </c>
      <c r="AI14" s="187"/>
      <c r="AJ14" s="187"/>
      <c r="AK14" s="209"/>
      <c r="AL14" s="191"/>
      <c r="AM14" s="208" t="n">
        <v>2280.9</v>
      </c>
      <c r="AN14" s="187" t="n">
        <v>25</v>
      </c>
      <c r="AO14" s="187"/>
      <c r="AP14" s="187"/>
      <c r="AQ14" s="209"/>
      <c r="AR14" s="191"/>
      <c r="AY14" s="197"/>
      <c r="AZ14" s="197"/>
    </row>
    <row r="15" customFormat="false" ht="15" hidden="false" customHeight="true" outlineLevel="0" collapsed="false">
      <c r="B15" s="187" t="s">
        <v>24</v>
      </c>
      <c r="C15" s="188" t="s">
        <v>172</v>
      </c>
      <c r="D15" s="189"/>
      <c r="E15" s="189"/>
      <c r="F15" s="187"/>
      <c r="G15" s="190"/>
      <c r="H15" s="187"/>
      <c r="I15" s="191"/>
      <c r="J15" s="192"/>
      <c r="K15" s="198"/>
      <c r="L15" s="191"/>
      <c r="N15" s="218" t="s">
        <v>375</v>
      </c>
      <c r="O15" s="219"/>
      <c r="P15" s="220"/>
      <c r="Q15" s="221"/>
      <c r="R15" s="220"/>
      <c r="S15" s="209"/>
      <c r="T15" s="191"/>
      <c r="U15" s="219"/>
      <c r="V15" s="187"/>
      <c r="W15" s="187"/>
      <c r="X15" s="187"/>
      <c r="Y15" s="209"/>
      <c r="Z15" s="191"/>
      <c r="AA15" s="208"/>
      <c r="AB15" s="187"/>
      <c r="AC15" s="187"/>
      <c r="AD15" s="187"/>
      <c r="AE15" s="209"/>
      <c r="AF15" s="191"/>
      <c r="AG15" s="208"/>
      <c r="AH15" s="187"/>
      <c r="AI15" s="187"/>
      <c r="AJ15" s="187"/>
      <c r="AK15" s="209"/>
      <c r="AL15" s="191"/>
      <c r="AM15" s="208"/>
      <c r="AN15" s="187"/>
      <c r="AO15" s="187"/>
      <c r="AP15" s="187"/>
      <c r="AQ15" s="209"/>
      <c r="AR15" s="191"/>
      <c r="AY15" s="197"/>
      <c r="AZ15" s="197"/>
    </row>
    <row r="16" customFormat="false" ht="15" hidden="false" customHeight="true" outlineLevel="0" collapsed="false">
      <c r="B16" s="187" t="s">
        <v>24</v>
      </c>
      <c r="C16" s="188" t="s">
        <v>172</v>
      </c>
      <c r="D16" s="189" t="s">
        <v>73</v>
      </c>
      <c r="E16" s="189" t="s">
        <v>185</v>
      </c>
      <c r="F16" s="187" t="n">
        <v>25</v>
      </c>
      <c r="G16" s="190" t="n">
        <v>1200</v>
      </c>
      <c r="H16" s="187" t="s">
        <v>186</v>
      </c>
      <c r="I16" s="191"/>
      <c r="J16" s="192" t="s">
        <v>175</v>
      </c>
      <c r="K16" s="198"/>
      <c r="L16" s="191"/>
      <c r="N16" s="224" t="s">
        <v>376</v>
      </c>
      <c r="O16" s="223"/>
      <c r="P16" s="220"/>
      <c r="Q16" s="221"/>
      <c r="R16" s="220"/>
      <c r="S16" s="209"/>
      <c r="T16" s="191"/>
      <c r="U16" s="208"/>
      <c r="V16" s="187"/>
      <c r="W16" s="187"/>
      <c r="X16" s="187"/>
      <c r="Y16" s="209"/>
      <c r="Z16" s="191"/>
      <c r="AA16" s="208"/>
      <c r="AB16" s="187"/>
      <c r="AC16" s="187"/>
      <c r="AD16" s="187"/>
      <c r="AE16" s="209"/>
      <c r="AF16" s="191"/>
      <c r="AG16" s="208"/>
      <c r="AH16" s="187"/>
      <c r="AI16" s="187"/>
      <c r="AJ16" s="187"/>
      <c r="AK16" s="209"/>
      <c r="AL16" s="191"/>
      <c r="AM16" s="208"/>
      <c r="AN16" s="187"/>
      <c r="AO16" s="187"/>
      <c r="AP16" s="187"/>
      <c r="AQ16" s="209"/>
      <c r="AR16" s="191"/>
      <c r="AY16" s="197"/>
      <c r="AZ16" s="197"/>
    </row>
    <row r="17" customFormat="false" ht="15" hidden="false" customHeight="true" outlineLevel="0" collapsed="false">
      <c r="B17" s="187" t="s">
        <v>24</v>
      </c>
      <c r="C17" s="188" t="s">
        <v>172</v>
      </c>
      <c r="D17" s="189" t="s">
        <v>79</v>
      </c>
      <c r="E17" s="189" t="s">
        <v>187</v>
      </c>
      <c r="F17" s="187"/>
      <c r="G17" s="190" t="n">
        <v>2500</v>
      </c>
      <c r="H17" s="187"/>
      <c r="I17" s="191"/>
      <c r="J17" s="192" t="s">
        <v>188</v>
      </c>
      <c r="K17" s="198"/>
      <c r="L17" s="191"/>
      <c r="N17" s="189" t="s">
        <v>223</v>
      </c>
      <c r="O17" s="219" t="n">
        <v>1500</v>
      </c>
      <c r="P17" s="187" t="n">
        <v>25</v>
      </c>
      <c r="Q17" s="187" t="s">
        <v>187</v>
      </c>
      <c r="R17" s="187" t="s">
        <v>175</v>
      </c>
      <c r="S17" s="209"/>
      <c r="T17" s="191"/>
      <c r="U17" s="208" t="n">
        <v>1500</v>
      </c>
      <c r="V17" s="187" t="n">
        <v>25</v>
      </c>
      <c r="W17" s="187"/>
      <c r="X17" s="187" t="s">
        <v>175</v>
      </c>
      <c r="Y17" s="209"/>
      <c r="Z17" s="191"/>
      <c r="AA17" s="208" t="n">
        <v>2000</v>
      </c>
      <c r="AB17" s="187" t="n">
        <v>25</v>
      </c>
      <c r="AC17" s="187"/>
      <c r="AD17" s="187"/>
      <c r="AE17" s="209"/>
      <c r="AF17" s="191"/>
      <c r="AG17" s="208" t="n">
        <v>1500</v>
      </c>
      <c r="AH17" s="187" t="n">
        <v>25</v>
      </c>
      <c r="AI17" s="187"/>
      <c r="AJ17" s="187"/>
      <c r="AK17" s="209"/>
      <c r="AL17" s="191"/>
      <c r="AM17" s="208" t="n">
        <v>1500</v>
      </c>
      <c r="AN17" s="187" t="n">
        <v>25</v>
      </c>
      <c r="AO17" s="187"/>
      <c r="AP17" s="187"/>
      <c r="AQ17" s="209"/>
      <c r="AR17" s="191"/>
      <c r="AY17" s="197"/>
      <c r="AZ17" s="197"/>
    </row>
    <row r="18" customFormat="false" ht="15" hidden="false" customHeight="true" outlineLevel="0" collapsed="false">
      <c r="B18" s="187" t="s">
        <v>24</v>
      </c>
      <c r="C18" s="188" t="s">
        <v>172</v>
      </c>
      <c r="D18" s="189" t="s">
        <v>189</v>
      </c>
      <c r="E18" s="189" t="s">
        <v>190</v>
      </c>
      <c r="F18" s="187" t="n">
        <v>25</v>
      </c>
      <c r="G18" s="190" t="n">
        <v>2000</v>
      </c>
      <c r="H18" s="187" t="s">
        <v>174</v>
      </c>
      <c r="I18" s="191" t="n">
        <v>45992</v>
      </c>
      <c r="J18" s="192" t="s">
        <v>188</v>
      </c>
      <c r="K18" s="198"/>
      <c r="L18" s="191"/>
      <c r="N18" s="224" t="s">
        <v>377</v>
      </c>
      <c r="O18" s="219"/>
      <c r="P18" s="220"/>
      <c r="Q18" s="221"/>
      <c r="R18" s="220"/>
      <c r="S18" s="209"/>
      <c r="T18" s="191"/>
      <c r="U18" s="208"/>
      <c r="V18" s="187"/>
      <c r="W18" s="187"/>
      <c r="X18" s="187"/>
      <c r="Y18" s="209"/>
      <c r="Z18" s="191"/>
      <c r="AA18" s="208"/>
      <c r="AB18" s="187"/>
      <c r="AC18" s="187"/>
      <c r="AD18" s="187"/>
      <c r="AE18" s="209"/>
      <c r="AF18" s="191"/>
      <c r="AG18" s="208"/>
      <c r="AH18" s="187"/>
      <c r="AI18" s="187"/>
      <c r="AJ18" s="187"/>
      <c r="AK18" s="209"/>
      <c r="AL18" s="191"/>
      <c r="AM18" s="208"/>
      <c r="AN18" s="187"/>
      <c r="AO18" s="187"/>
      <c r="AP18" s="187"/>
      <c r="AQ18" s="209"/>
      <c r="AR18" s="191"/>
      <c r="AY18" s="197"/>
      <c r="AZ18" s="197"/>
    </row>
    <row r="19" customFormat="false" ht="15" hidden="false" customHeight="true" outlineLevel="0" collapsed="false">
      <c r="B19" s="187" t="s">
        <v>24</v>
      </c>
      <c r="C19" s="188" t="s">
        <v>172</v>
      </c>
      <c r="D19" s="189" t="s">
        <v>191</v>
      </c>
      <c r="E19" s="189" t="s">
        <v>192</v>
      </c>
      <c r="F19" s="187" t="n">
        <v>25</v>
      </c>
      <c r="G19" s="190" t="n">
        <v>1350</v>
      </c>
      <c r="H19" s="187" t="s">
        <v>174</v>
      </c>
      <c r="I19" s="191" t="n">
        <v>45992</v>
      </c>
      <c r="J19" s="192" t="s">
        <v>175</v>
      </c>
      <c r="K19" s="198"/>
      <c r="L19" s="191"/>
      <c r="N19" s="224" t="s">
        <v>378</v>
      </c>
      <c r="O19" s="223"/>
      <c r="P19" s="220"/>
      <c r="Q19" s="221"/>
      <c r="R19" s="220"/>
      <c r="S19" s="209"/>
      <c r="T19" s="191"/>
      <c r="U19" s="208"/>
      <c r="V19" s="187"/>
      <c r="W19" s="187"/>
      <c r="X19" s="187"/>
      <c r="Y19" s="209"/>
      <c r="Z19" s="191"/>
      <c r="AA19" s="208"/>
      <c r="AB19" s="187"/>
      <c r="AC19" s="187"/>
      <c r="AD19" s="187"/>
      <c r="AE19" s="209"/>
      <c r="AF19" s="191"/>
      <c r="AG19" s="208"/>
      <c r="AH19" s="187"/>
      <c r="AI19" s="187"/>
      <c r="AJ19" s="187"/>
      <c r="AK19" s="209"/>
      <c r="AL19" s="191"/>
      <c r="AM19" s="208"/>
      <c r="AN19" s="187"/>
      <c r="AO19" s="187"/>
      <c r="AP19" s="187"/>
      <c r="AQ19" s="209"/>
      <c r="AR19" s="191"/>
      <c r="AY19" s="197"/>
      <c r="AZ19" s="197"/>
    </row>
    <row r="20" customFormat="false" ht="15" hidden="false" customHeight="true" outlineLevel="0" collapsed="false">
      <c r="B20" s="187" t="s">
        <v>24</v>
      </c>
      <c r="C20" s="188" t="s">
        <v>172</v>
      </c>
      <c r="D20" s="189" t="s">
        <v>64</v>
      </c>
      <c r="E20" s="189" t="s">
        <v>180</v>
      </c>
      <c r="F20" s="187" t="n">
        <v>25</v>
      </c>
      <c r="G20" s="190" t="n">
        <v>1900</v>
      </c>
      <c r="H20" s="187" t="s">
        <v>193</v>
      </c>
      <c r="I20" s="191" t="n">
        <v>46023</v>
      </c>
      <c r="J20" s="192" t="s">
        <v>175</v>
      </c>
      <c r="K20" s="193"/>
      <c r="L20" s="191"/>
      <c r="N20" s="225" t="s">
        <v>379</v>
      </c>
      <c r="O20" s="208" t="n">
        <v>1834</v>
      </c>
      <c r="P20" s="187" t="n">
        <v>19</v>
      </c>
      <c r="Q20" s="187" t="s">
        <v>187</v>
      </c>
      <c r="R20" s="187" t="s">
        <v>175</v>
      </c>
      <c r="S20" s="209"/>
      <c r="T20" s="191"/>
      <c r="U20" s="208" t="n">
        <v>1834</v>
      </c>
      <c r="V20" s="187" t="n">
        <v>19</v>
      </c>
      <c r="W20" s="187"/>
      <c r="X20" s="187" t="s">
        <v>175</v>
      </c>
      <c r="Y20" s="209"/>
      <c r="Z20" s="191"/>
      <c r="AA20" s="208" t="n">
        <v>1834</v>
      </c>
      <c r="AB20" s="187" t="n">
        <v>19</v>
      </c>
      <c r="AC20" s="187"/>
      <c r="AD20" s="187"/>
      <c r="AE20" s="209"/>
      <c r="AF20" s="191"/>
      <c r="AG20" s="208" t="n">
        <v>1834</v>
      </c>
      <c r="AH20" s="187" t="n">
        <v>19</v>
      </c>
      <c r="AI20" s="187"/>
      <c r="AJ20" s="187"/>
      <c r="AK20" s="209"/>
      <c r="AL20" s="191"/>
      <c r="AM20" s="208" t="n">
        <v>1834</v>
      </c>
      <c r="AN20" s="187" t="n">
        <v>19</v>
      </c>
      <c r="AO20" s="187"/>
      <c r="AP20" s="187"/>
      <c r="AQ20" s="209"/>
      <c r="AR20" s="191"/>
      <c r="AY20" s="197"/>
      <c r="AZ20" s="197"/>
    </row>
    <row r="21" customFormat="false" ht="15" hidden="false" customHeight="true" outlineLevel="0" collapsed="false">
      <c r="B21" s="187" t="s">
        <v>24</v>
      </c>
      <c r="C21" s="188" t="s">
        <v>172</v>
      </c>
      <c r="D21" s="189" t="s">
        <v>194</v>
      </c>
      <c r="E21" s="189" t="s">
        <v>195</v>
      </c>
      <c r="F21" s="187" t="n">
        <v>30</v>
      </c>
      <c r="G21" s="190" t="n">
        <v>4500</v>
      </c>
      <c r="H21" s="187"/>
      <c r="I21" s="191" t="n">
        <v>46023</v>
      </c>
      <c r="J21" s="192" t="s">
        <v>175</v>
      </c>
      <c r="K21" s="198"/>
      <c r="L21" s="191"/>
      <c r="N21" s="224" t="s">
        <v>380</v>
      </c>
      <c r="O21" s="223"/>
      <c r="P21" s="220"/>
      <c r="Q21" s="221"/>
      <c r="R21" s="220"/>
      <c r="S21" s="209"/>
      <c r="T21" s="191"/>
      <c r="U21" s="223"/>
      <c r="V21" s="187"/>
      <c r="W21" s="187"/>
      <c r="X21" s="187"/>
      <c r="Y21" s="209"/>
      <c r="Z21" s="191"/>
      <c r="AA21" s="208"/>
      <c r="AB21" s="187"/>
      <c r="AC21" s="187"/>
      <c r="AD21" s="187"/>
      <c r="AE21" s="209"/>
      <c r="AF21" s="191"/>
      <c r="AG21" s="208"/>
      <c r="AH21" s="187"/>
      <c r="AI21" s="187"/>
      <c r="AJ21" s="187"/>
      <c r="AK21" s="209"/>
      <c r="AL21" s="191"/>
      <c r="AM21" s="208"/>
      <c r="AN21" s="187"/>
      <c r="AO21" s="187"/>
      <c r="AP21" s="187"/>
      <c r="AQ21" s="209"/>
      <c r="AR21" s="191"/>
      <c r="AY21" s="197"/>
      <c r="AZ21" s="197"/>
    </row>
    <row r="22" customFormat="false" ht="15" hidden="false" customHeight="true" outlineLevel="0" collapsed="false">
      <c r="B22" s="187" t="s">
        <v>24</v>
      </c>
      <c r="C22" s="188" t="s">
        <v>172</v>
      </c>
      <c r="E22" s="226" t="s">
        <v>196</v>
      </c>
      <c r="F22" s="227" t="n">
        <v>25</v>
      </c>
      <c r="G22" s="228"/>
      <c r="H22" s="187"/>
      <c r="I22" s="191"/>
      <c r="J22" s="192"/>
      <c r="K22" s="229" t="n">
        <v>1500</v>
      </c>
      <c r="L22" s="230" t="n">
        <v>45962</v>
      </c>
      <c r="N22" s="189" t="s">
        <v>225</v>
      </c>
      <c r="O22" s="208" t="n">
        <v>1500</v>
      </c>
      <c r="P22" s="187" t="n">
        <v>20</v>
      </c>
      <c r="Q22" s="187" t="s">
        <v>187</v>
      </c>
      <c r="R22" s="187" t="s">
        <v>175</v>
      </c>
      <c r="S22" s="209"/>
      <c r="T22" s="191"/>
      <c r="U22" s="208" t="n">
        <v>2000</v>
      </c>
      <c r="V22" s="187" t="n">
        <v>20</v>
      </c>
      <c r="W22" s="187"/>
      <c r="X22" s="187" t="s">
        <v>175</v>
      </c>
      <c r="Y22" s="209"/>
      <c r="Z22" s="191"/>
      <c r="AA22" s="208" t="n">
        <v>1500</v>
      </c>
      <c r="AB22" s="187" t="n">
        <v>20</v>
      </c>
      <c r="AC22" s="187"/>
      <c r="AD22" s="187"/>
      <c r="AE22" s="209"/>
      <c r="AF22" s="191"/>
      <c r="AG22" s="208" t="n">
        <v>1500</v>
      </c>
      <c r="AH22" s="187" t="n">
        <v>25</v>
      </c>
      <c r="AI22" s="187"/>
      <c r="AJ22" s="187"/>
      <c r="AK22" s="209"/>
      <c r="AL22" s="191"/>
      <c r="AM22" s="208" t="n">
        <v>1500</v>
      </c>
      <c r="AN22" s="187" t="n">
        <v>25</v>
      </c>
      <c r="AO22" s="187"/>
      <c r="AP22" s="187"/>
      <c r="AQ22" s="209"/>
      <c r="AR22" s="191"/>
      <c r="AY22" s="197"/>
      <c r="AZ22" s="197"/>
    </row>
    <row r="23" customFormat="false" ht="15" hidden="false" customHeight="true" outlineLevel="0" collapsed="false">
      <c r="B23" s="187" t="s">
        <v>24</v>
      </c>
      <c r="C23" s="188" t="s">
        <v>172</v>
      </c>
      <c r="D23" s="189" t="s">
        <v>68</v>
      </c>
      <c r="E23" s="189" t="s">
        <v>197</v>
      </c>
      <c r="F23" s="187" t="n">
        <v>30</v>
      </c>
      <c r="G23" s="190" t="n">
        <v>1360</v>
      </c>
      <c r="H23" s="187" t="s">
        <v>198</v>
      </c>
      <c r="I23" s="191" t="n">
        <v>46023</v>
      </c>
      <c r="J23" s="192" t="s">
        <v>175</v>
      </c>
      <c r="K23" s="198"/>
      <c r="L23" s="191"/>
      <c r="N23" s="189" t="s">
        <v>381</v>
      </c>
      <c r="O23" s="208" t="n">
        <v>188</v>
      </c>
      <c r="P23" s="187" t="n">
        <v>1</v>
      </c>
      <c r="Q23" s="187" t="s">
        <v>187</v>
      </c>
      <c r="R23" s="187" t="s">
        <v>175</v>
      </c>
      <c r="S23" s="209"/>
      <c r="T23" s="191"/>
      <c r="U23" s="208" t="n">
        <v>164.5</v>
      </c>
      <c r="V23" s="187" t="n">
        <v>1</v>
      </c>
      <c r="W23" s="187"/>
      <c r="X23" s="187" t="s">
        <v>175</v>
      </c>
      <c r="Y23" s="209"/>
      <c r="Z23" s="191"/>
      <c r="AA23" s="208"/>
      <c r="AB23" s="187" t="n">
        <v>1</v>
      </c>
      <c r="AC23" s="187"/>
      <c r="AD23" s="187"/>
      <c r="AE23" s="209"/>
      <c r="AF23" s="191"/>
      <c r="AG23" s="208"/>
      <c r="AH23" s="187" t="n">
        <v>1</v>
      </c>
      <c r="AI23" s="187"/>
      <c r="AJ23" s="187"/>
      <c r="AK23" s="209"/>
      <c r="AL23" s="191"/>
      <c r="AM23" s="208"/>
      <c r="AN23" s="187" t="n">
        <v>1</v>
      </c>
      <c r="AO23" s="187"/>
      <c r="AP23" s="187"/>
      <c r="AQ23" s="209"/>
      <c r="AR23" s="191"/>
      <c r="AY23" s="197"/>
      <c r="AZ23" s="197"/>
    </row>
    <row r="24" customFormat="false" ht="15" hidden="false" customHeight="true" outlineLevel="0" collapsed="false">
      <c r="B24" s="187" t="s">
        <v>24</v>
      </c>
      <c r="C24" s="188" t="s">
        <v>172</v>
      </c>
      <c r="D24" s="189" t="s">
        <v>71</v>
      </c>
      <c r="E24" s="189" t="s">
        <v>199</v>
      </c>
      <c r="F24" s="187" t="n">
        <v>30</v>
      </c>
      <c r="G24" s="190" t="n">
        <v>2000</v>
      </c>
      <c r="H24" s="187" t="s">
        <v>200</v>
      </c>
      <c r="I24" s="191" t="n">
        <v>46023</v>
      </c>
      <c r="J24" s="191" t="s">
        <v>188</v>
      </c>
      <c r="K24" s="198"/>
      <c r="L24" s="191"/>
      <c r="N24" s="189" t="s">
        <v>227</v>
      </c>
      <c r="O24" s="208"/>
      <c r="P24" s="187" t="n">
        <v>1</v>
      </c>
      <c r="Q24" s="187" t="s">
        <v>187</v>
      </c>
      <c r="R24" s="187" t="s">
        <v>175</v>
      </c>
      <c r="S24" s="209"/>
      <c r="T24" s="191"/>
      <c r="U24" s="208" t="n">
        <v>37.1</v>
      </c>
      <c r="V24" s="187" t="n">
        <v>1</v>
      </c>
      <c r="W24" s="187"/>
      <c r="X24" s="187" t="s">
        <v>175</v>
      </c>
      <c r="Y24" s="209"/>
      <c r="Z24" s="191"/>
      <c r="AA24" s="208"/>
      <c r="AB24" s="187" t="n">
        <v>1</v>
      </c>
      <c r="AC24" s="187"/>
      <c r="AD24" s="187"/>
      <c r="AE24" s="209"/>
      <c r="AF24" s="191"/>
      <c r="AG24" s="208"/>
      <c r="AH24" s="187" t="n">
        <v>30</v>
      </c>
      <c r="AI24" s="187"/>
      <c r="AJ24" s="187"/>
      <c r="AK24" s="209"/>
      <c r="AL24" s="191"/>
      <c r="AM24" s="208"/>
      <c r="AN24" s="187" t="n">
        <v>30</v>
      </c>
      <c r="AO24" s="187"/>
      <c r="AP24" s="187"/>
      <c r="AQ24" s="209"/>
      <c r="AR24" s="191"/>
      <c r="AY24" s="197"/>
      <c r="AZ24" s="197"/>
    </row>
    <row r="25" customFormat="false" ht="15" hidden="false" customHeight="true" outlineLevel="0" collapsed="false">
      <c r="B25" s="187" t="s">
        <v>24</v>
      </c>
      <c r="C25" s="188" t="s">
        <v>172</v>
      </c>
      <c r="D25" s="189" t="s">
        <v>201</v>
      </c>
      <c r="E25" s="189" t="s">
        <v>177</v>
      </c>
      <c r="F25" s="187" t="n">
        <v>28</v>
      </c>
      <c r="G25" s="190" t="n">
        <v>750</v>
      </c>
      <c r="H25" s="187" t="s">
        <v>174</v>
      </c>
      <c r="I25" s="191" t="n">
        <v>46023</v>
      </c>
      <c r="J25" s="192" t="s">
        <v>175</v>
      </c>
      <c r="K25" s="198"/>
      <c r="L25" s="191"/>
      <c r="N25" s="231"/>
      <c r="O25" s="208"/>
      <c r="P25" s="187"/>
      <c r="Q25" s="187"/>
      <c r="R25" s="187"/>
      <c r="S25" s="209"/>
      <c r="T25" s="191"/>
      <c r="U25" s="208"/>
      <c r="V25" s="187"/>
      <c r="W25" s="187"/>
      <c r="X25" s="187"/>
      <c r="Y25" s="209"/>
      <c r="Z25" s="191"/>
      <c r="AA25" s="208"/>
      <c r="AB25" s="187"/>
      <c r="AC25" s="187"/>
      <c r="AD25" s="187"/>
      <c r="AE25" s="209"/>
      <c r="AF25" s="191"/>
      <c r="AG25" s="208"/>
      <c r="AH25" s="187"/>
      <c r="AI25" s="187"/>
      <c r="AJ25" s="187"/>
      <c r="AK25" s="209"/>
      <c r="AL25" s="191"/>
      <c r="AM25" s="208"/>
      <c r="AN25" s="187"/>
      <c r="AO25" s="187"/>
      <c r="AP25" s="187"/>
      <c r="AQ25" s="209"/>
      <c r="AR25" s="191"/>
      <c r="AY25" s="197"/>
      <c r="AZ25" s="197"/>
    </row>
    <row r="26" customFormat="false" ht="15" hidden="false" customHeight="true" outlineLevel="0" collapsed="false">
      <c r="B26" s="187" t="s">
        <v>24</v>
      </c>
      <c r="C26" s="188" t="s">
        <v>172</v>
      </c>
      <c r="D26" s="189" t="s">
        <v>202</v>
      </c>
      <c r="E26" s="189" t="s">
        <v>177</v>
      </c>
      <c r="F26" s="187" t="n">
        <v>30</v>
      </c>
      <c r="G26" s="190"/>
      <c r="H26" s="187" t="s">
        <v>174</v>
      </c>
      <c r="I26" s="191" t="n">
        <v>46023</v>
      </c>
      <c r="J26" s="192"/>
      <c r="K26" s="198"/>
      <c r="L26" s="191"/>
      <c r="N26" s="189" t="s">
        <v>382</v>
      </c>
      <c r="O26" s="223"/>
      <c r="P26" s="187"/>
      <c r="Q26" s="187"/>
      <c r="R26" s="187"/>
      <c r="S26" s="209"/>
      <c r="T26" s="191"/>
      <c r="U26" s="232"/>
      <c r="V26" s="187"/>
      <c r="W26" s="187"/>
      <c r="X26" s="187"/>
      <c r="Y26" s="209"/>
      <c r="Z26" s="191"/>
      <c r="AA26" s="232"/>
      <c r="AB26" s="187"/>
      <c r="AC26" s="187"/>
      <c r="AD26" s="187"/>
      <c r="AE26" s="209"/>
      <c r="AF26" s="191"/>
      <c r="AG26" s="232"/>
      <c r="AH26" s="187"/>
      <c r="AI26" s="187"/>
      <c r="AJ26" s="187"/>
      <c r="AK26" s="209"/>
      <c r="AL26" s="191"/>
      <c r="AM26" s="232"/>
      <c r="AN26" s="187"/>
      <c r="AO26" s="187"/>
      <c r="AP26" s="187"/>
      <c r="AQ26" s="209"/>
      <c r="AR26" s="191"/>
      <c r="AY26" s="197"/>
      <c r="AZ26" s="197"/>
    </row>
    <row r="27" customFormat="false" ht="15" hidden="false" customHeight="true" outlineLevel="0" collapsed="false">
      <c r="B27" s="187" t="s">
        <v>24</v>
      </c>
      <c r="C27" s="188" t="s">
        <v>172</v>
      </c>
      <c r="D27" s="189" t="s">
        <v>203</v>
      </c>
      <c r="E27" s="189" t="s">
        <v>204</v>
      </c>
      <c r="F27" s="187" t="n">
        <v>30</v>
      </c>
      <c r="G27" s="190" t="n">
        <v>2750</v>
      </c>
      <c r="H27" s="187" t="s">
        <v>174</v>
      </c>
      <c r="I27" s="191" t="n">
        <v>46023</v>
      </c>
      <c r="J27" s="192" t="s">
        <v>175</v>
      </c>
      <c r="K27" s="198"/>
      <c r="L27" s="191"/>
      <c r="N27" s="189" t="s">
        <v>383</v>
      </c>
      <c r="O27" s="208"/>
      <c r="P27" s="187"/>
      <c r="Q27" s="187"/>
      <c r="R27" s="187"/>
      <c r="S27" s="209"/>
      <c r="T27" s="191"/>
      <c r="U27" s="208"/>
      <c r="V27" s="187"/>
      <c r="W27" s="187"/>
      <c r="X27" s="187"/>
      <c r="Y27" s="209"/>
      <c r="Z27" s="191"/>
      <c r="AA27" s="208"/>
      <c r="AB27" s="187"/>
      <c r="AC27" s="187"/>
      <c r="AD27" s="187"/>
      <c r="AE27" s="209"/>
      <c r="AF27" s="191"/>
      <c r="AG27" s="208"/>
      <c r="AH27" s="187"/>
      <c r="AI27" s="187"/>
      <c r="AJ27" s="187"/>
      <c r="AK27" s="209"/>
      <c r="AL27" s="191"/>
      <c r="AM27" s="208"/>
      <c r="AN27" s="187"/>
      <c r="AO27" s="187"/>
      <c r="AP27" s="187"/>
      <c r="AQ27" s="209"/>
      <c r="AR27" s="191"/>
      <c r="AY27" s="186"/>
      <c r="AZ27" s="186"/>
    </row>
    <row r="28" customFormat="false" ht="15" hidden="false" customHeight="true" outlineLevel="0" collapsed="false">
      <c r="B28" s="187" t="s">
        <v>24</v>
      </c>
      <c r="C28" s="188" t="s">
        <v>172</v>
      </c>
      <c r="D28" s="189" t="s">
        <v>205</v>
      </c>
      <c r="E28" s="189" t="s">
        <v>197</v>
      </c>
      <c r="F28" s="187" t="n">
        <v>30</v>
      </c>
      <c r="G28" s="190" t="n">
        <v>600</v>
      </c>
      <c r="H28" s="187" t="s">
        <v>174</v>
      </c>
      <c r="I28" s="191" t="n">
        <v>46023</v>
      </c>
      <c r="J28" s="192" t="s">
        <v>188</v>
      </c>
      <c r="K28" s="198"/>
      <c r="L28" s="191"/>
      <c r="N28" s="189" t="s">
        <v>384</v>
      </c>
      <c r="O28" s="208"/>
      <c r="P28" s="187"/>
      <c r="Q28" s="187"/>
      <c r="R28" s="187"/>
      <c r="S28" s="209"/>
      <c r="T28" s="191"/>
      <c r="U28" s="208"/>
      <c r="V28" s="187"/>
      <c r="W28" s="187"/>
      <c r="X28" s="187"/>
      <c r="Y28" s="209"/>
      <c r="Z28" s="191"/>
      <c r="AA28" s="208"/>
      <c r="AB28" s="187"/>
      <c r="AC28" s="187"/>
      <c r="AD28" s="187"/>
      <c r="AE28" s="209"/>
      <c r="AF28" s="191"/>
      <c r="AG28" s="208"/>
      <c r="AH28" s="187"/>
      <c r="AI28" s="187"/>
      <c r="AJ28" s="187"/>
      <c r="AK28" s="209"/>
      <c r="AL28" s="191"/>
      <c r="AM28" s="208"/>
      <c r="AN28" s="187"/>
      <c r="AO28" s="187"/>
      <c r="AP28" s="187"/>
      <c r="AQ28" s="209"/>
      <c r="AR28" s="191"/>
      <c r="AY28" s="233"/>
      <c r="AZ28" s="197"/>
    </row>
    <row r="29" customFormat="false" ht="15" hidden="false" customHeight="true" outlineLevel="0" collapsed="false">
      <c r="B29" s="234" t="s">
        <v>385</v>
      </c>
      <c r="C29" s="235"/>
      <c r="D29" s="236"/>
      <c r="E29" s="236"/>
      <c r="F29" s="237"/>
      <c r="G29" s="238" t="n">
        <f aca="false">SUM(G4:G28)</f>
        <v>30260</v>
      </c>
      <c r="H29" s="237"/>
      <c r="I29" s="239"/>
      <c r="J29" s="240"/>
      <c r="K29" s="241" t="n">
        <f aca="false">SUM(K4:K28)</f>
        <v>1500</v>
      </c>
      <c r="L29" s="242"/>
      <c r="N29" s="189" t="s">
        <v>386</v>
      </c>
      <c r="O29" s="208"/>
      <c r="P29" s="187"/>
      <c r="Q29" s="187"/>
      <c r="R29" s="187"/>
      <c r="S29" s="209"/>
      <c r="T29" s="191"/>
      <c r="U29" s="208"/>
      <c r="V29" s="187"/>
      <c r="W29" s="187"/>
      <c r="X29" s="187"/>
      <c r="Y29" s="209"/>
      <c r="Z29" s="191"/>
      <c r="AA29" s="208"/>
      <c r="AB29" s="187"/>
      <c r="AC29" s="187"/>
      <c r="AD29" s="187"/>
      <c r="AE29" s="209"/>
      <c r="AF29" s="191"/>
      <c r="AG29" s="208"/>
      <c r="AH29" s="187"/>
      <c r="AI29" s="187"/>
      <c r="AJ29" s="187"/>
      <c r="AK29" s="209"/>
      <c r="AL29" s="191"/>
      <c r="AM29" s="208"/>
      <c r="AN29" s="187"/>
      <c r="AO29" s="187"/>
      <c r="AP29" s="187"/>
      <c r="AQ29" s="209"/>
      <c r="AR29" s="191"/>
      <c r="AY29" s="233"/>
      <c r="AZ29" s="197"/>
    </row>
    <row r="30" customFormat="false" ht="15" hidden="false" customHeight="true" outlineLevel="0" collapsed="false">
      <c r="B30" s="187" t="s">
        <v>28</v>
      </c>
      <c r="C30" s="188" t="s">
        <v>172</v>
      </c>
      <c r="D30" s="189" t="s">
        <v>83</v>
      </c>
      <c r="E30" s="189" t="s">
        <v>173</v>
      </c>
      <c r="F30" s="187" t="n">
        <v>5</v>
      </c>
      <c r="G30" s="190" t="n">
        <v>800</v>
      </c>
      <c r="H30" s="187" t="s">
        <v>174</v>
      </c>
      <c r="I30" s="191" t="n">
        <v>46023</v>
      </c>
      <c r="J30" s="192" t="s">
        <v>188</v>
      </c>
      <c r="K30" s="193"/>
      <c r="L30" s="194"/>
      <c r="N30" s="189" t="s">
        <v>387</v>
      </c>
      <c r="O30" s="208"/>
      <c r="P30" s="187"/>
      <c r="Q30" s="187"/>
      <c r="R30" s="187"/>
      <c r="S30" s="209"/>
      <c r="T30" s="191"/>
      <c r="U30" s="208"/>
      <c r="V30" s="187"/>
      <c r="W30" s="187"/>
      <c r="X30" s="187"/>
      <c r="Y30" s="209"/>
      <c r="Z30" s="191"/>
      <c r="AA30" s="208"/>
      <c r="AB30" s="187"/>
      <c r="AC30" s="187"/>
      <c r="AD30" s="187"/>
      <c r="AE30" s="209"/>
      <c r="AF30" s="191"/>
      <c r="AG30" s="208"/>
      <c r="AH30" s="187"/>
      <c r="AI30" s="187"/>
      <c r="AJ30" s="187"/>
      <c r="AK30" s="209"/>
      <c r="AL30" s="191"/>
      <c r="AM30" s="208"/>
      <c r="AN30" s="187"/>
      <c r="AO30" s="187"/>
      <c r="AP30" s="187"/>
      <c r="AQ30" s="209"/>
      <c r="AR30" s="191"/>
      <c r="AY30" s="233"/>
      <c r="AZ30" s="197"/>
    </row>
    <row r="31" customFormat="false" ht="15" hidden="false" customHeight="true" outlineLevel="0" collapsed="false">
      <c r="B31" s="187" t="s">
        <v>28</v>
      </c>
      <c r="C31" s="188" t="s">
        <v>172</v>
      </c>
      <c r="D31" s="189" t="s">
        <v>176</v>
      </c>
      <c r="E31" s="189" t="s">
        <v>177</v>
      </c>
      <c r="F31" s="187" t="n">
        <v>5</v>
      </c>
      <c r="G31" s="190" t="n">
        <v>1200</v>
      </c>
      <c r="H31" s="187" t="s">
        <v>206</v>
      </c>
      <c r="I31" s="191" t="n">
        <v>46023</v>
      </c>
      <c r="J31" s="192" t="s">
        <v>175</v>
      </c>
      <c r="K31" s="198"/>
      <c r="L31" s="191"/>
      <c r="N31" s="243" t="s">
        <v>388</v>
      </c>
      <c r="O31" s="244" t="n">
        <f aca="false">SUM(O32:O44)</f>
        <v>3088.47</v>
      </c>
      <c r="P31" s="237" t="n">
        <v>28</v>
      </c>
      <c r="Q31" s="245"/>
      <c r="R31" s="245"/>
      <c r="S31" s="245"/>
      <c r="T31" s="242"/>
      <c r="U31" s="244" t="n">
        <f aca="false">SUM(U32:U44)</f>
        <v>3354.49</v>
      </c>
      <c r="V31" s="237" t="n">
        <v>28</v>
      </c>
      <c r="W31" s="245"/>
      <c r="X31" s="245"/>
      <c r="Y31" s="245"/>
      <c r="Z31" s="242"/>
      <c r="AA31" s="244" t="n">
        <f aca="false">SUM(AA32:AA44)</f>
        <v>3784.59</v>
      </c>
      <c r="AB31" s="237" t="n">
        <v>28</v>
      </c>
      <c r="AC31" s="245"/>
      <c r="AD31" s="245"/>
      <c r="AE31" s="245"/>
      <c r="AF31" s="242"/>
      <c r="AG31" s="244" t="n">
        <f aca="false">SUM(AG32:AG44)</f>
        <v>3784.59</v>
      </c>
      <c r="AH31" s="237" t="n">
        <v>28</v>
      </c>
      <c r="AI31" s="245"/>
      <c r="AJ31" s="245"/>
      <c r="AK31" s="245"/>
      <c r="AL31" s="242"/>
      <c r="AM31" s="244" t="n">
        <f aca="false">SUM(AM32:AM44)</f>
        <v>3784.59</v>
      </c>
      <c r="AN31" s="237" t="n">
        <v>28</v>
      </c>
      <c r="AO31" s="245"/>
      <c r="AP31" s="245"/>
      <c r="AQ31" s="245"/>
      <c r="AR31" s="242"/>
      <c r="AY31" s="233"/>
      <c r="AZ31" s="197"/>
    </row>
    <row r="32" customFormat="false" ht="15" hidden="false" customHeight="true" outlineLevel="0" collapsed="false">
      <c r="B32" s="187" t="s">
        <v>28</v>
      </c>
      <c r="C32" s="188" t="s">
        <v>207</v>
      </c>
      <c r="D32" s="189"/>
      <c r="E32" s="189" t="s">
        <v>180</v>
      </c>
      <c r="F32" s="187" t="n">
        <v>5</v>
      </c>
      <c r="G32" s="190"/>
      <c r="H32" s="187"/>
      <c r="I32" s="191"/>
      <c r="J32" s="191"/>
      <c r="K32" s="198"/>
      <c r="L32" s="191"/>
      <c r="N32" s="189" t="s">
        <v>389</v>
      </c>
      <c r="O32" s="208" t="n">
        <f aca="false">110.38+38.21</f>
        <v>148.59</v>
      </c>
      <c r="P32" s="187"/>
      <c r="Q32" s="187"/>
      <c r="R32" s="187"/>
      <c r="S32" s="209"/>
      <c r="T32" s="191"/>
      <c r="U32" s="208" t="n">
        <f aca="false">110.38+38.21</f>
        <v>148.59</v>
      </c>
      <c r="V32" s="187"/>
      <c r="W32" s="187"/>
      <c r="X32" s="187"/>
      <c r="Y32" s="209"/>
      <c r="Z32" s="191"/>
      <c r="AA32" s="208" t="n">
        <f aca="false">110.38+38.21</f>
        <v>148.59</v>
      </c>
      <c r="AB32" s="187"/>
      <c r="AC32" s="187"/>
      <c r="AD32" s="187"/>
      <c r="AE32" s="209"/>
      <c r="AF32" s="191"/>
      <c r="AG32" s="208" t="n">
        <f aca="false">110.38+38.21</f>
        <v>148.59</v>
      </c>
      <c r="AH32" s="187"/>
      <c r="AI32" s="187"/>
      <c r="AJ32" s="187"/>
      <c r="AK32" s="209"/>
      <c r="AL32" s="191"/>
      <c r="AM32" s="208" t="n">
        <f aca="false">110.38+38.21</f>
        <v>148.59</v>
      </c>
      <c r="AN32" s="187"/>
      <c r="AO32" s="187"/>
      <c r="AP32" s="187"/>
      <c r="AQ32" s="209"/>
      <c r="AR32" s="191"/>
      <c r="AY32" s="233"/>
      <c r="AZ32" s="197"/>
    </row>
    <row r="33" customFormat="false" ht="15" hidden="false" customHeight="true" outlineLevel="0" collapsed="false">
      <c r="B33" s="187" t="s">
        <v>28</v>
      </c>
      <c r="C33" s="188" t="s">
        <v>207</v>
      </c>
      <c r="D33" s="189"/>
      <c r="E33" s="189" t="s">
        <v>180</v>
      </c>
      <c r="F33" s="187" t="n">
        <v>5</v>
      </c>
      <c r="G33" s="190"/>
      <c r="H33" s="187"/>
      <c r="I33" s="191"/>
      <c r="J33" s="191"/>
      <c r="K33" s="198"/>
      <c r="L33" s="191"/>
      <c r="N33" s="189" t="s">
        <v>390</v>
      </c>
      <c r="O33" s="208" t="n">
        <v>100</v>
      </c>
      <c r="P33" s="187"/>
      <c r="Q33" s="187"/>
      <c r="R33" s="187"/>
      <c r="S33" s="209"/>
      <c r="T33" s="191"/>
      <c r="U33" s="208" t="n">
        <v>100</v>
      </c>
      <c r="V33" s="187"/>
      <c r="W33" s="187"/>
      <c r="X33" s="187"/>
      <c r="Y33" s="209"/>
      <c r="Z33" s="191"/>
      <c r="AA33" s="208" t="n">
        <v>100</v>
      </c>
      <c r="AB33" s="187"/>
      <c r="AC33" s="187"/>
      <c r="AD33" s="187"/>
      <c r="AE33" s="209"/>
      <c r="AF33" s="191"/>
      <c r="AG33" s="208" t="n">
        <v>100</v>
      </c>
      <c r="AH33" s="187"/>
      <c r="AI33" s="187"/>
      <c r="AJ33" s="187"/>
      <c r="AK33" s="209"/>
      <c r="AL33" s="191"/>
      <c r="AM33" s="208" t="n">
        <v>100</v>
      </c>
      <c r="AN33" s="187"/>
      <c r="AO33" s="187"/>
      <c r="AP33" s="187"/>
      <c r="AQ33" s="209"/>
      <c r="AR33" s="191"/>
      <c r="AY33" s="233"/>
      <c r="AZ33" s="197"/>
    </row>
    <row r="34" customFormat="false" ht="15" hidden="false" customHeight="true" outlineLevel="0" collapsed="false">
      <c r="B34" s="187" t="s">
        <v>28</v>
      </c>
      <c r="C34" s="188" t="s">
        <v>172</v>
      </c>
      <c r="D34" s="189" t="s">
        <v>82</v>
      </c>
      <c r="E34" s="189" t="s">
        <v>177</v>
      </c>
      <c r="F34" s="187" t="n">
        <v>5</v>
      </c>
      <c r="G34" s="190" t="n">
        <v>750</v>
      </c>
      <c r="H34" s="187" t="s">
        <v>206</v>
      </c>
      <c r="I34" s="191" t="n">
        <v>46054</v>
      </c>
      <c r="J34" s="191" t="s">
        <v>175</v>
      </c>
      <c r="K34" s="198"/>
      <c r="L34" s="191"/>
      <c r="N34" s="189" t="s">
        <v>230</v>
      </c>
      <c r="O34" s="208" t="n">
        <v>14.99</v>
      </c>
      <c r="P34" s="187"/>
      <c r="Q34" s="187"/>
      <c r="R34" s="187"/>
      <c r="S34" s="209"/>
      <c r="T34" s="191"/>
      <c r="U34" s="208" t="n">
        <v>14.99</v>
      </c>
      <c r="V34" s="187"/>
      <c r="W34" s="187"/>
      <c r="X34" s="187"/>
      <c r="Y34" s="209"/>
      <c r="Z34" s="191"/>
      <c r="AA34" s="208" t="n">
        <v>14.99</v>
      </c>
      <c r="AB34" s="187"/>
      <c r="AC34" s="187"/>
      <c r="AD34" s="187"/>
      <c r="AE34" s="209"/>
      <c r="AF34" s="191"/>
      <c r="AG34" s="208" t="n">
        <v>14.99</v>
      </c>
      <c r="AH34" s="187"/>
      <c r="AI34" s="187"/>
      <c r="AJ34" s="187"/>
      <c r="AK34" s="209"/>
      <c r="AL34" s="191"/>
      <c r="AM34" s="208" t="n">
        <v>14.99</v>
      </c>
      <c r="AN34" s="187"/>
      <c r="AO34" s="187"/>
      <c r="AP34" s="187"/>
      <c r="AQ34" s="209"/>
      <c r="AR34" s="191"/>
      <c r="AY34" s="233"/>
      <c r="AZ34" s="197"/>
    </row>
    <row r="35" customFormat="false" ht="15" hidden="false" customHeight="true" outlineLevel="0" collapsed="false">
      <c r="B35" s="187" t="s">
        <v>28</v>
      </c>
      <c r="C35" s="210" t="s">
        <v>172</v>
      </c>
      <c r="D35" s="211" t="s">
        <v>72</v>
      </c>
      <c r="E35" s="211" t="s">
        <v>177</v>
      </c>
      <c r="F35" s="212" t="n">
        <v>6</v>
      </c>
      <c r="G35" s="213" t="n">
        <v>2750</v>
      </c>
      <c r="H35" s="212" t="s">
        <v>208</v>
      </c>
      <c r="I35" s="214" t="n">
        <v>46054</v>
      </c>
      <c r="J35" s="215" t="s">
        <v>175</v>
      </c>
      <c r="K35" s="216"/>
      <c r="L35" s="217"/>
      <c r="N35" s="189" t="s">
        <v>391</v>
      </c>
      <c r="O35" s="208" t="n">
        <v>214.82</v>
      </c>
      <c r="P35" s="187"/>
      <c r="Q35" s="187"/>
      <c r="R35" s="187"/>
      <c r="S35" s="209"/>
      <c r="T35" s="191"/>
      <c r="U35" s="208" t="n">
        <v>214.82</v>
      </c>
      <c r="V35" s="187"/>
      <c r="W35" s="187"/>
      <c r="X35" s="187"/>
      <c r="Y35" s="209"/>
      <c r="Z35" s="191"/>
      <c r="AA35" s="208" t="n">
        <v>214.82</v>
      </c>
      <c r="AB35" s="187"/>
      <c r="AC35" s="187"/>
      <c r="AD35" s="187"/>
      <c r="AE35" s="209"/>
      <c r="AF35" s="191"/>
      <c r="AG35" s="208" t="n">
        <v>214.82</v>
      </c>
      <c r="AH35" s="187"/>
      <c r="AI35" s="187"/>
      <c r="AJ35" s="187"/>
      <c r="AK35" s="209"/>
      <c r="AL35" s="191"/>
      <c r="AM35" s="208" t="n">
        <v>214.82</v>
      </c>
      <c r="AN35" s="187"/>
      <c r="AO35" s="187"/>
      <c r="AP35" s="187"/>
      <c r="AQ35" s="209"/>
      <c r="AR35" s="191"/>
    </row>
    <row r="36" customFormat="false" ht="15" hidden="false" customHeight="true" outlineLevel="0" collapsed="false">
      <c r="B36" s="187" t="s">
        <v>28</v>
      </c>
      <c r="C36" s="188" t="s">
        <v>172</v>
      </c>
      <c r="D36" s="189"/>
      <c r="E36" s="189"/>
      <c r="F36" s="187"/>
      <c r="G36" s="190"/>
      <c r="H36" s="187"/>
      <c r="I36" s="191"/>
      <c r="J36" s="192"/>
      <c r="K36" s="198"/>
      <c r="L36" s="191"/>
      <c r="N36" s="189" t="s">
        <v>392</v>
      </c>
      <c r="O36" s="208" t="n">
        <v>275</v>
      </c>
      <c r="P36" s="187"/>
      <c r="Q36" s="187"/>
      <c r="R36" s="187"/>
      <c r="S36" s="209"/>
      <c r="T36" s="191"/>
      <c r="U36" s="208" t="n">
        <v>275</v>
      </c>
      <c r="V36" s="187"/>
      <c r="W36" s="187"/>
      <c r="X36" s="187"/>
      <c r="Y36" s="209"/>
      <c r="Z36" s="191"/>
      <c r="AA36" s="208" t="n">
        <v>275</v>
      </c>
      <c r="AB36" s="187"/>
      <c r="AC36" s="187"/>
      <c r="AD36" s="187"/>
      <c r="AE36" s="209"/>
      <c r="AF36" s="191"/>
      <c r="AG36" s="208" t="n">
        <v>275</v>
      </c>
      <c r="AH36" s="187"/>
      <c r="AI36" s="187"/>
      <c r="AJ36" s="187"/>
      <c r="AK36" s="209"/>
      <c r="AL36" s="191"/>
      <c r="AM36" s="208" t="n">
        <v>275</v>
      </c>
      <c r="AN36" s="187"/>
      <c r="AO36" s="187"/>
      <c r="AP36" s="187"/>
      <c r="AQ36" s="209"/>
      <c r="AR36" s="191"/>
    </row>
    <row r="37" customFormat="false" ht="15" hidden="false" customHeight="true" outlineLevel="0" collapsed="false">
      <c r="B37" s="187" t="s">
        <v>28</v>
      </c>
      <c r="C37" s="188" t="s">
        <v>172</v>
      </c>
      <c r="D37" s="189" t="s">
        <v>75</v>
      </c>
      <c r="E37" s="189" t="s">
        <v>180</v>
      </c>
      <c r="F37" s="187" t="n">
        <v>10</v>
      </c>
      <c r="G37" s="190" t="n">
        <v>2500</v>
      </c>
      <c r="H37" s="187" t="s">
        <v>209</v>
      </c>
      <c r="I37" s="191" t="n">
        <v>46023</v>
      </c>
      <c r="J37" s="192" t="s">
        <v>175</v>
      </c>
      <c r="K37" s="198"/>
      <c r="L37" s="191"/>
      <c r="N37" s="189" t="s">
        <v>393</v>
      </c>
      <c r="O37" s="208" t="n">
        <f aca="false">19.9+53.9</f>
        <v>73.8</v>
      </c>
      <c r="P37" s="187"/>
      <c r="Q37" s="187"/>
      <c r="R37" s="187"/>
      <c r="S37" s="209"/>
      <c r="T37" s="191"/>
      <c r="U37" s="208" t="n">
        <f aca="false">19.9+53.9</f>
        <v>73.8</v>
      </c>
      <c r="V37" s="187"/>
      <c r="W37" s="187"/>
      <c r="X37" s="187"/>
      <c r="Y37" s="209"/>
      <c r="Z37" s="191"/>
      <c r="AA37" s="208" t="n">
        <f aca="false">19.9+53.9</f>
        <v>73.8</v>
      </c>
      <c r="AB37" s="187"/>
      <c r="AC37" s="187"/>
      <c r="AD37" s="187"/>
      <c r="AE37" s="209"/>
      <c r="AF37" s="191"/>
      <c r="AG37" s="208" t="n">
        <f aca="false">19.9+53.9</f>
        <v>73.8</v>
      </c>
      <c r="AH37" s="187"/>
      <c r="AI37" s="187"/>
      <c r="AJ37" s="187"/>
      <c r="AK37" s="209"/>
      <c r="AL37" s="191"/>
      <c r="AM37" s="208" t="n">
        <f aca="false">19.9+53.9</f>
        <v>73.8</v>
      </c>
      <c r="AN37" s="187"/>
      <c r="AO37" s="187"/>
      <c r="AP37" s="187"/>
      <c r="AQ37" s="209"/>
      <c r="AR37" s="191"/>
    </row>
    <row r="38" customFormat="false" ht="15" hidden="false" customHeight="true" outlineLevel="0" collapsed="false">
      <c r="B38" s="187" t="s">
        <v>28</v>
      </c>
      <c r="C38" s="188" t="s">
        <v>172</v>
      </c>
      <c r="D38" s="189" t="s">
        <v>182</v>
      </c>
      <c r="E38" s="189" t="s">
        <v>177</v>
      </c>
      <c r="F38" s="187" t="n">
        <v>12</v>
      </c>
      <c r="G38" s="190" t="n">
        <v>1500</v>
      </c>
      <c r="H38" s="187" t="s">
        <v>174</v>
      </c>
      <c r="I38" s="191" t="n">
        <v>46054</v>
      </c>
      <c r="J38" s="192" t="s">
        <v>175</v>
      </c>
      <c r="K38" s="198"/>
      <c r="L38" s="191"/>
      <c r="N38" s="189" t="s">
        <v>394</v>
      </c>
      <c r="O38" s="208" t="n">
        <v>59</v>
      </c>
      <c r="P38" s="187"/>
      <c r="Q38" s="187"/>
      <c r="R38" s="187"/>
      <c r="S38" s="209"/>
      <c r="T38" s="191"/>
      <c r="U38" s="208" t="n">
        <v>59</v>
      </c>
      <c r="V38" s="187"/>
      <c r="W38" s="187"/>
      <c r="X38" s="187"/>
      <c r="Y38" s="209"/>
      <c r="Z38" s="191"/>
      <c r="AA38" s="208" t="n">
        <v>59</v>
      </c>
      <c r="AB38" s="187"/>
      <c r="AC38" s="187"/>
      <c r="AD38" s="187"/>
      <c r="AE38" s="209"/>
      <c r="AF38" s="191"/>
      <c r="AG38" s="208" t="n">
        <v>59</v>
      </c>
      <c r="AH38" s="187"/>
      <c r="AI38" s="187"/>
      <c r="AJ38" s="187"/>
      <c r="AK38" s="209"/>
      <c r="AL38" s="191"/>
      <c r="AM38" s="208" t="n">
        <v>59</v>
      </c>
      <c r="AN38" s="187"/>
      <c r="AO38" s="187"/>
      <c r="AP38" s="187"/>
      <c r="AQ38" s="209"/>
      <c r="AR38" s="191"/>
    </row>
    <row r="39" customFormat="false" ht="15" hidden="false" customHeight="true" outlineLevel="0" collapsed="false">
      <c r="B39" s="187" t="s">
        <v>28</v>
      </c>
      <c r="C39" s="188" t="s">
        <v>172</v>
      </c>
      <c r="D39" s="189" t="s">
        <v>183</v>
      </c>
      <c r="E39" s="189" t="s">
        <v>184</v>
      </c>
      <c r="F39" s="187" t="n">
        <v>16</v>
      </c>
      <c r="G39" s="190" t="n">
        <v>600</v>
      </c>
      <c r="H39" s="187" t="s">
        <v>174</v>
      </c>
      <c r="I39" s="191" t="n">
        <v>46054</v>
      </c>
      <c r="J39" s="192" t="s">
        <v>175</v>
      </c>
      <c r="K39" s="198"/>
      <c r="L39" s="191"/>
      <c r="N39" s="189" t="s">
        <v>395</v>
      </c>
      <c r="O39" s="208" t="n">
        <v>142.24</v>
      </c>
      <c r="P39" s="187"/>
      <c r="Q39" s="187"/>
      <c r="R39" s="187"/>
      <c r="S39" s="209"/>
      <c r="T39" s="191"/>
      <c r="U39" s="208" t="n">
        <v>142.24</v>
      </c>
      <c r="V39" s="187"/>
      <c r="W39" s="187"/>
      <c r="X39" s="187"/>
      <c r="Y39" s="209"/>
      <c r="Z39" s="191"/>
      <c r="AA39" s="208" t="n">
        <v>142.24</v>
      </c>
      <c r="AB39" s="187"/>
      <c r="AC39" s="187"/>
      <c r="AD39" s="187"/>
      <c r="AE39" s="209"/>
      <c r="AF39" s="191"/>
      <c r="AG39" s="208" t="n">
        <v>142.24</v>
      </c>
      <c r="AH39" s="187"/>
      <c r="AI39" s="187"/>
      <c r="AJ39" s="187"/>
      <c r="AK39" s="209"/>
      <c r="AL39" s="191"/>
      <c r="AM39" s="208" t="n">
        <v>142.24</v>
      </c>
      <c r="AN39" s="187"/>
      <c r="AO39" s="187"/>
      <c r="AP39" s="187"/>
      <c r="AQ39" s="209"/>
      <c r="AR39" s="191"/>
    </row>
    <row r="40" customFormat="false" ht="15" hidden="false" customHeight="true" outlineLevel="0" collapsed="false">
      <c r="B40" s="187" t="s">
        <v>28</v>
      </c>
      <c r="C40" s="188" t="s">
        <v>172</v>
      </c>
      <c r="D40" s="189"/>
      <c r="E40" s="189"/>
      <c r="F40" s="187"/>
      <c r="G40" s="190"/>
      <c r="H40" s="187"/>
      <c r="I40" s="191"/>
      <c r="J40" s="192"/>
      <c r="K40" s="198"/>
      <c r="L40" s="191"/>
      <c r="N40" s="189" t="s">
        <v>396</v>
      </c>
      <c r="O40" s="208" t="n">
        <v>1000</v>
      </c>
      <c r="P40" s="187"/>
      <c r="Q40" s="187"/>
      <c r="R40" s="187"/>
      <c r="S40" s="209"/>
      <c r="T40" s="191"/>
      <c r="U40" s="208" t="n">
        <v>1000</v>
      </c>
      <c r="V40" s="187"/>
      <c r="W40" s="187"/>
      <c r="X40" s="187"/>
      <c r="Y40" s="209"/>
      <c r="Z40" s="191"/>
      <c r="AA40" s="208" t="n">
        <v>1000</v>
      </c>
      <c r="AB40" s="187"/>
      <c r="AC40" s="187"/>
      <c r="AD40" s="187"/>
      <c r="AE40" s="209"/>
      <c r="AF40" s="191"/>
      <c r="AG40" s="208" t="n">
        <v>1000</v>
      </c>
      <c r="AH40" s="187"/>
      <c r="AI40" s="187"/>
      <c r="AJ40" s="187"/>
      <c r="AK40" s="209"/>
      <c r="AL40" s="191"/>
      <c r="AM40" s="208" t="n">
        <v>1000</v>
      </c>
      <c r="AN40" s="187"/>
      <c r="AO40" s="187"/>
      <c r="AP40" s="187"/>
      <c r="AQ40" s="209"/>
      <c r="AR40" s="191"/>
    </row>
    <row r="41" customFormat="false" ht="15" hidden="false" customHeight="true" outlineLevel="0" collapsed="false">
      <c r="B41" s="187" t="s">
        <v>28</v>
      </c>
      <c r="C41" s="188" t="s">
        <v>172</v>
      </c>
      <c r="D41" s="189" t="s">
        <v>80</v>
      </c>
      <c r="E41" s="189"/>
      <c r="F41" s="187"/>
      <c r="G41" s="190" t="n">
        <v>1000</v>
      </c>
      <c r="H41" s="187"/>
      <c r="I41" s="191"/>
      <c r="J41" s="192"/>
      <c r="K41" s="246" t="n">
        <v>2500</v>
      </c>
      <c r="L41" s="191" t="n">
        <v>46023</v>
      </c>
      <c r="N41" s="189" t="s">
        <v>397</v>
      </c>
      <c r="O41" s="208" t="n">
        <v>44.99</v>
      </c>
      <c r="P41" s="187"/>
      <c r="Q41" s="187"/>
      <c r="R41" s="187"/>
      <c r="S41" s="209"/>
      <c r="T41" s="191"/>
      <c r="U41" s="208" t="n">
        <v>44.99</v>
      </c>
      <c r="V41" s="187"/>
      <c r="W41" s="187"/>
      <c r="X41" s="187"/>
      <c r="Y41" s="209"/>
      <c r="Z41" s="191"/>
      <c r="AA41" s="208" t="n">
        <v>44.99</v>
      </c>
      <c r="AB41" s="187"/>
      <c r="AC41" s="187"/>
      <c r="AD41" s="187"/>
      <c r="AE41" s="209"/>
      <c r="AF41" s="191"/>
      <c r="AG41" s="208" t="n">
        <v>44.99</v>
      </c>
      <c r="AH41" s="187"/>
      <c r="AI41" s="187"/>
      <c r="AJ41" s="187"/>
      <c r="AK41" s="209"/>
      <c r="AL41" s="191"/>
      <c r="AM41" s="208" t="n">
        <v>44.99</v>
      </c>
      <c r="AN41" s="187"/>
      <c r="AO41" s="187"/>
      <c r="AP41" s="187"/>
      <c r="AQ41" s="209"/>
      <c r="AR41" s="191"/>
    </row>
    <row r="42" customFormat="false" ht="15" hidden="false" customHeight="true" outlineLevel="0" collapsed="false">
      <c r="B42" s="187" t="s">
        <v>28</v>
      </c>
      <c r="C42" s="188" t="s">
        <v>172</v>
      </c>
      <c r="D42" s="189" t="s">
        <v>73</v>
      </c>
      <c r="E42" s="189" t="s">
        <v>185</v>
      </c>
      <c r="F42" s="187" t="n">
        <v>25</v>
      </c>
      <c r="G42" s="190" t="n">
        <v>1200</v>
      </c>
      <c r="H42" s="187" t="s">
        <v>210</v>
      </c>
      <c r="I42" s="191"/>
      <c r="J42" s="192" t="s">
        <v>175</v>
      </c>
      <c r="K42" s="198"/>
      <c r="L42" s="191"/>
      <c r="N42" s="189" t="s">
        <v>398</v>
      </c>
      <c r="O42" s="208" t="n">
        <v>118.17</v>
      </c>
      <c r="P42" s="187"/>
      <c r="Q42" s="187"/>
      <c r="R42" s="187"/>
      <c r="S42" s="209"/>
      <c r="T42" s="191"/>
      <c r="U42" s="208" t="n">
        <v>118.17</v>
      </c>
      <c r="V42" s="187"/>
      <c r="W42" s="187"/>
      <c r="X42" s="187"/>
      <c r="Y42" s="209"/>
      <c r="Z42" s="191"/>
      <c r="AA42" s="208" t="n">
        <v>118.17</v>
      </c>
      <c r="AB42" s="187"/>
      <c r="AC42" s="187"/>
      <c r="AD42" s="187"/>
      <c r="AE42" s="209"/>
      <c r="AF42" s="191"/>
      <c r="AG42" s="208" t="n">
        <v>118.17</v>
      </c>
      <c r="AH42" s="187"/>
      <c r="AI42" s="187"/>
      <c r="AJ42" s="187"/>
      <c r="AK42" s="209"/>
      <c r="AL42" s="191"/>
      <c r="AM42" s="208" t="n">
        <v>118.17</v>
      </c>
      <c r="AN42" s="187"/>
      <c r="AO42" s="187"/>
      <c r="AP42" s="187"/>
      <c r="AQ42" s="209"/>
      <c r="AR42" s="191"/>
    </row>
    <row r="43" customFormat="false" ht="15" hidden="false" customHeight="true" outlineLevel="0" collapsed="false">
      <c r="B43" s="187" t="s">
        <v>28</v>
      </c>
      <c r="C43" s="188" t="s">
        <v>172</v>
      </c>
      <c r="D43" s="189"/>
      <c r="E43" s="189" t="s">
        <v>187</v>
      </c>
      <c r="F43" s="187"/>
      <c r="G43" s="190"/>
      <c r="H43" s="187"/>
      <c r="I43" s="191"/>
      <c r="J43" s="192"/>
      <c r="K43" s="198"/>
      <c r="L43" s="191"/>
      <c r="N43" s="189" t="s">
        <v>399</v>
      </c>
      <c r="O43" s="208"/>
      <c r="P43" s="187"/>
      <c r="Q43" s="187"/>
      <c r="R43" s="187"/>
      <c r="S43" s="209"/>
      <c r="T43" s="191"/>
      <c r="U43" s="208"/>
      <c r="V43" s="187"/>
      <c r="W43" s="187"/>
      <c r="X43" s="187"/>
      <c r="Y43" s="209"/>
      <c r="Z43" s="191"/>
      <c r="AA43" s="208"/>
      <c r="AB43" s="187"/>
      <c r="AC43" s="187"/>
      <c r="AD43" s="187"/>
      <c r="AE43" s="209"/>
      <c r="AF43" s="191"/>
      <c r="AG43" s="208"/>
      <c r="AH43" s="187"/>
      <c r="AI43" s="187"/>
      <c r="AJ43" s="187"/>
      <c r="AK43" s="209"/>
      <c r="AL43" s="191"/>
      <c r="AM43" s="208"/>
      <c r="AN43" s="187"/>
      <c r="AO43" s="187"/>
      <c r="AP43" s="187"/>
      <c r="AQ43" s="209"/>
      <c r="AR43" s="191"/>
    </row>
    <row r="44" customFormat="false" ht="15" hidden="false" customHeight="true" outlineLevel="0" collapsed="false">
      <c r="B44" s="187" t="s">
        <v>28</v>
      </c>
      <c r="C44" s="188" t="s">
        <v>172</v>
      </c>
      <c r="D44" s="189" t="s">
        <v>189</v>
      </c>
      <c r="E44" s="189" t="s">
        <v>190</v>
      </c>
      <c r="F44" s="187" t="n">
        <v>25</v>
      </c>
      <c r="G44" s="190" t="n">
        <v>2000</v>
      </c>
      <c r="H44" s="187" t="s">
        <v>174</v>
      </c>
      <c r="I44" s="191" t="n">
        <v>46023</v>
      </c>
      <c r="J44" s="192" t="s">
        <v>188</v>
      </c>
      <c r="K44" s="198" t="n">
        <v>2000</v>
      </c>
      <c r="L44" s="191" t="n">
        <v>45992</v>
      </c>
      <c r="N44" s="189" t="s">
        <v>400</v>
      </c>
      <c r="O44" s="208" t="n">
        <v>896.87</v>
      </c>
      <c r="P44" s="187"/>
      <c r="Q44" s="187" t="s">
        <v>204</v>
      </c>
      <c r="R44" s="187" t="s">
        <v>175</v>
      </c>
      <c r="S44" s="209"/>
      <c r="T44" s="191"/>
      <c r="U44" s="208" t="n">
        <v>1162.89</v>
      </c>
      <c r="V44" s="187" t="n">
        <v>9</v>
      </c>
      <c r="W44" s="187"/>
      <c r="X44" s="187" t="s">
        <v>175</v>
      </c>
      <c r="Y44" s="209"/>
      <c r="Z44" s="191"/>
      <c r="AA44" s="208" t="n">
        <v>1592.99</v>
      </c>
      <c r="AB44" s="187"/>
      <c r="AC44" s="187"/>
      <c r="AD44" s="187"/>
      <c r="AE44" s="209"/>
      <c r="AF44" s="191"/>
      <c r="AG44" s="208" t="n">
        <v>1592.99</v>
      </c>
      <c r="AH44" s="187"/>
      <c r="AI44" s="187"/>
      <c r="AJ44" s="187"/>
      <c r="AK44" s="209"/>
      <c r="AL44" s="191"/>
      <c r="AM44" s="208" t="n">
        <v>1592.99</v>
      </c>
      <c r="AN44" s="187"/>
      <c r="AO44" s="187"/>
      <c r="AP44" s="187"/>
      <c r="AQ44" s="209"/>
      <c r="AR44" s="191"/>
    </row>
    <row r="45" customFormat="false" ht="15" hidden="false" customHeight="true" outlineLevel="0" collapsed="false">
      <c r="B45" s="187" t="s">
        <v>28</v>
      </c>
      <c r="C45" s="188" t="s">
        <v>172</v>
      </c>
      <c r="D45" s="189" t="s">
        <v>191</v>
      </c>
      <c r="E45" s="189" t="s">
        <v>192</v>
      </c>
      <c r="F45" s="187" t="n">
        <v>25</v>
      </c>
      <c r="G45" s="190" t="n">
        <v>1350</v>
      </c>
      <c r="H45" s="187" t="s">
        <v>174</v>
      </c>
      <c r="I45" s="191" t="n">
        <v>46023</v>
      </c>
      <c r="J45" s="192" t="s">
        <v>175</v>
      </c>
      <c r="K45" s="198"/>
      <c r="L45" s="191"/>
      <c r="N45" s="199" t="s">
        <v>401</v>
      </c>
      <c r="O45" s="244" t="n">
        <f aca="false">SUM(O46:O49)</f>
        <v>3500</v>
      </c>
      <c r="P45" s="237"/>
      <c r="Q45" s="245"/>
      <c r="R45" s="245"/>
      <c r="S45" s="245"/>
      <c r="T45" s="242"/>
      <c r="U45" s="244" t="n">
        <f aca="false">SUM(U46:U49)</f>
        <v>3500</v>
      </c>
      <c r="V45" s="237"/>
      <c r="W45" s="245"/>
      <c r="X45" s="245"/>
      <c r="Y45" s="245"/>
      <c r="Z45" s="242"/>
      <c r="AA45" s="244" t="n">
        <f aca="false">SUM(AA46:AA49)</f>
        <v>3500</v>
      </c>
      <c r="AB45" s="237"/>
      <c r="AC45" s="245"/>
      <c r="AD45" s="245"/>
      <c r="AE45" s="245"/>
      <c r="AF45" s="242"/>
      <c r="AG45" s="244" t="n">
        <f aca="false">SUM(AG46:AG49)</f>
        <v>3500</v>
      </c>
      <c r="AH45" s="237"/>
      <c r="AI45" s="245"/>
      <c r="AJ45" s="245"/>
      <c r="AK45" s="245"/>
      <c r="AL45" s="242"/>
      <c r="AM45" s="244" t="n">
        <f aca="false">SUM(AM46:AM49)</f>
        <v>3500</v>
      </c>
      <c r="AN45" s="237"/>
      <c r="AO45" s="245"/>
      <c r="AP45" s="245"/>
      <c r="AQ45" s="245"/>
      <c r="AR45" s="242"/>
    </row>
    <row r="46" customFormat="false" ht="15" hidden="false" customHeight="true" outlineLevel="0" collapsed="false">
      <c r="B46" s="187" t="s">
        <v>28</v>
      </c>
      <c r="C46" s="188" t="s">
        <v>172</v>
      </c>
      <c r="D46" s="189" t="s">
        <v>64</v>
      </c>
      <c r="E46" s="189" t="s">
        <v>180</v>
      </c>
      <c r="F46" s="187" t="n">
        <v>25</v>
      </c>
      <c r="G46" s="190" t="n">
        <v>1900</v>
      </c>
      <c r="H46" s="187" t="s">
        <v>208</v>
      </c>
      <c r="I46" s="191" t="n">
        <v>46054</v>
      </c>
      <c r="J46" s="192" t="s">
        <v>175</v>
      </c>
      <c r="K46" s="193"/>
      <c r="L46" s="191"/>
      <c r="N46" s="189"/>
      <c r="O46" s="208"/>
      <c r="P46" s="187"/>
      <c r="Q46" s="187"/>
      <c r="R46" s="187"/>
      <c r="S46" s="209"/>
      <c r="T46" s="191"/>
      <c r="U46" s="208"/>
      <c r="V46" s="187"/>
      <c r="W46" s="187"/>
      <c r="X46" s="187"/>
      <c r="Y46" s="209"/>
      <c r="Z46" s="191"/>
      <c r="AA46" s="208"/>
      <c r="AB46" s="187"/>
      <c r="AC46" s="187"/>
      <c r="AD46" s="187"/>
      <c r="AE46" s="209"/>
      <c r="AF46" s="191"/>
      <c r="AG46" s="208"/>
      <c r="AH46" s="187"/>
      <c r="AI46" s="187"/>
      <c r="AJ46" s="187"/>
      <c r="AK46" s="209"/>
      <c r="AL46" s="191"/>
      <c r="AM46" s="208"/>
      <c r="AN46" s="187"/>
      <c r="AO46" s="187"/>
      <c r="AP46" s="187"/>
      <c r="AQ46" s="209"/>
      <c r="AR46" s="191"/>
    </row>
    <row r="47" customFormat="false" ht="15" hidden="false" customHeight="true" outlineLevel="0" collapsed="false">
      <c r="B47" s="187" t="s">
        <v>28</v>
      </c>
      <c r="C47" s="188" t="s">
        <v>172</v>
      </c>
      <c r="D47" s="189" t="s">
        <v>194</v>
      </c>
      <c r="E47" s="189" t="s">
        <v>195</v>
      </c>
      <c r="F47" s="187" t="n">
        <v>30</v>
      </c>
      <c r="G47" s="190" t="n">
        <v>4000</v>
      </c>
      <c r="H47" s="187"/>
      <c r="I47" s="191" t="n">
        <v>46054</v>
      </c>
      <c r="J47" s="192" t="s">
        <v>175</v>
      </c>
      <c r="K47" s="198"/>
      <c r="L47" s="191"/>
      <c r="N47" s="189" t="s">
        <v>402</v>
      </c>
      <c r="O47" s="208"/>
      <c r="P47" s="187"/>
      <c r="Q47" s="187"/>
      <c r="R47" s="187"/>
      <c r="S47" s="209"/>
      <c r="T47" s="191"/>
      <c r="U47" s="208"/>
      <c r="V47" s="187"/>
      <c r="W47" s="187"/>
      <c r="X47" s="187"/>
      <c r="Y47" s="209"/>
      <c r="Z47" s="191"/>
      <c r="AA47" s="208"/>
      <c r="AB47" s="187"/>
      <c r="AC47" s="187"/>
      <c r="AD47" s="187"/>
      <c r="AE47" s="209"/>
      <c r="AF47" s="191"/>
      <c r="AG47" s="208"/>
      <c r="AH47" s="187"/>
      <c r="AI47" s="187"/>
      <c r="AJ47" s="187"/>
      <c r="AK47" s="209"/>
      <c r="AL47" s="191"/>
      <c r="AM47" s="208"/>
      <c r="AN47" s="187"/>
      <c r="AO47" s="187"/>
      <c r="AP47" s="187"/>
      <c r="AQ47" s="209"/>
      <c r="AR47" s="191"/>
    </row>
    <row r="48" customFormat="false" ht="15" hidden="false" customHeight="true" outlineLevel="0" collapsed="false">
      <c r="B48" s="187" t="s">
        <v>28</v>
      </c>
      <c r="C48" s="188" t="s">
        <v>172</v>
      </c>
      <c r="D48" s="226" t="s">
        <v>81</v>
      </c>
      <c r="E48" s="226"/>
      <c r="F48" s="227"/>
      <c r="G48" s="228"/>
      <c r="H48" s="187"/>
      <c r="I48" s="191" t="n">
        <v>46054</v>
      </c>
      <c r="J48" s="192"/>
      <c r="K48" s="198"/>
      <c r="L48" s="191"/>
      <c r="N48" s="189" t="s">
        <v>240</v>
      </c>
      <c r="O48" s="208" t="n">
        <v>1000</v>
      </c>
      <c r="P48" s="187"/>
      <c r="Q48" s="187"/>
      <c r="R48" s="187" t="s">
        <v>175</v>
      </c>
      <c r="S48" s="209"/>
      <c r="T48" s="191"/>
      <c r="U48" s="208" t="n">
        <v>1000</v>
      </c>
      <c r="V48" s="187"/>
      <c r="W48" s="187"/>
      <c r="X48" s="187"/>
      <c r="Y48" s="209"/>
      <c r="Z48" s="191"/>
      <c r="AA48" s="208" t="n">
        <v>1000</v>
      </c>
      <c r="AB48" s="187"/>
      <c r="AC48" s="187"/>
      <c r="AD48" s="187"/>
      <c r="AE48" s="209"/>
      <c r="AF48" s="191"/>
      <c r="AG48" s="208" t="n">
        <v>1000</v>
      </c>
      <c r="AH48" s="187"/>
      <c r="AI48" s="187"/>
      <c r="AJ48" s="187"/>
      <c r="AK48" s="209"/>
      <c r="AL48" s="191"/>
      <c r="AM48" s="208" t="n">
        <v>1000</v>
      </c>
      <c r="AN48" s="187"/>
      <c r="AO48" s="187"/>
      <c r="AP48" s="187"/>
      <c r="AQ48" s="209"/>
      <c r="AR48" s="191"/>
    </row>
    <row r="49" customFormat="false" ht="15" hidden="false" customHeight="true" outlineLevel="0" collapsed="false">
      <c r="B49" s="187" t="s">
        <v>28</v>
      </c>
      <c r="C49" s="188" t="s">
        <v>172</v>
      </c>
      <c r="D49" s="226"/>
      <c r="E49" s="189"/>
      <c r="F49" s="187"/>
      <c r="G49" s="190"/>
      <c r="H49" s="187"/>
      <c r="I49" s="191" t="n">
        <v>46054</v>
      </c>
      <c r="J49" s="192"/>
      <c r="K49" s="198"/>
      <c r="L49" s="191"/>
      <c r="N49" s="189" t="s">
        <v>403</v>
      </c>
      <c r="O49" s="208" t="n">
        <v>2500</v>
      </c>
      <c r="P49" s="187"/>
      <c r="Q49" s="187"/>
      <c r="R49" s="187"/>
      <c r="S49" s="209"/>
      <c r="T49" s="191"/>
      <c r="U49" s="208" t="n">
        <v>2500</v>
      </c>
      <c r="V49" s="187"/>
      <c r="W49" s="187"/>
      <c r="X49" s="187"/>
      <c r="Y49" s="209"/>
      <c r="Z49" s="191"/>
      <c r="AA49" s="208" t="n">
        <v>2500</v>
      </c>
      <c r="AB49" s="187"/>
      <c r="AC49" s="187"/>
      <c r="AD49" s="187"/>
      <c r="AE49" s="209"/>
      <c r="AF49" s="191"/>
      <c r="AG49" s="208" t="n">
        <v>2500</v>
      </c>
      <c r="AH49" s="187"/>
      <c r="AI49" s="187"/>
      <c r="AJ49" s="187"/>
      <c r="AK49" s="209"/>
      <c r="AL49" s="191"/>
      <c r="AM49" s="208" t="n">
        <v>2500</v>
      </c>
      <c r="AN49" s="187"/>
      <c r="AO49" s="187"/>
      <c r="AP49" s="187"/>
      <c r="AQ49" s="209"/>
      <c r="AR49" s="191"/>
    </row>
    <row r="50" customFormat="false" ht="15" hidden="false" customHeight="true" outlineLevel="0" collapsed="false">
      <c r="B50" s="187" t="s">
        <v>28</v>
      </c>
      <c r="C50" s="188" t="s">
        <v>172</v>
      </c>
      <c r="D50" s="189" t="s">
        <v>71</v>
      </c>
      <c r="E50" s="189" t="s">
        <v>199</v>
      </c>
      <c r="F50" s="187" t="n">
        <v>30</v>
      </c>
      <c r="G50" s="190" t="n">
        <v>2000</v>
      </c>
      <c r="H50" s="247" t="s">
        <v>211</v>
      </c>
      <c r="I50" s="191" t="n">
        <v>46054</v>
      </c>
      <c r="J50" s="191" t="s">
        <v>188</v>
      </c>
      <c r="K50" s="246" t="n">
        <v>2000</v>
      </c>
      <c r="L50" s="191" t="n">
        <v>46023</v>
      </c>
      <c r="N50" s="199" t="s">
        <v>404</v>
      </c>
      <c r="O50" s="244" t="n">
        <f aca="false">SUM(O51:O52)</f>
        <v>220.75</v>
      </c>
      <c r="P50" s="237"/>
      <c r="Q50" s="245"/>
      <c r="R50" s="245"/>
      <c r="S50" s="245"/>
      <c r="T50" s="242"/>
      <c r="U50" s="244" t="n">
        <f aca="false">SUM(U51:U52)</f>
        <v>220.75</v>
      </c>
      <c r="V50" s="237"/>
      <c r="W50" s="245"/>
      <c r="X50" s="245"/>
      <c r="Y50" s="245"/>
      <c r="Z50" s="242"/>
      <c r="AA50" s="244" t="n">
        <f aca="false">SUM(AA51:AA52)</f>
        <v>0</v>
      </c>
      <c r="AB50" s="237"/>
      <c r="AC50" s="245"/>
      <c r="AD50" s="245"/>
      <c r="AE50" s="245"/>
      <c r="AF50" s="242"/>
      <c r="AG50" s="244" t="n">
        <f aca="false">SUM(AG51:AG52)</f>
        <v>0</v>
      </c>
      <c r="AH50" s="237"/>
      <c r="AI50" s="245"/>
      <c r="AJ50" s="245"/>
      <c r="AK50" s="245"/>
      <c r="AL50" s="242"/>
      <c r="AM50" s="244" t="n">
        <f aca="false">SUM(AM51:AM52)</f>
        <v>0</v>
      </c>
      <c r="AN50" s="237"/>
      <c r="AO50" s="245"/>
      <c r="AP50" s="245"/>
      <c r="AQ50" s="245"/>
      <c r="AR50" s="242"/>
    </row>
    <row r="51" customFormat="false" ht="15" hidden="false" customHeight="true" outlineLevel="0" collapsed="false">
      <c r="B51" s="187" t="s">
        <v>28</v>
      </c>
      <c r="C51" s="188" t="s">
        <v>172</v>
      </c>
      <c r="D51" s="189" t="s">
        <v>201</v>
      </c>
      <c r="E51" s="189" t="s">
        <v>177</v>
      </c>
      <c r="F51" s="187" t="n">
        <v>28</v>
      </c>
      <c r="G51" s="190" t="n">
        <v>3000</v>
      </c>
      <c r="H51" s="187" t="s">
        <v>174</v>
      </c>
      <c r="I51" s="191" t="n">
        <v>46054</v>
      </c>
      <c r="J51" s="192" t="s">
        <v>175</v>
      </c>
      <c r="K51" s="198"/>
      <c r="L51" s="191"/>
      <c r="N51" s="189" t="s">
        <v>242</v>
      </c>
      <c r="O51" s="208" t="n">
        <v>220.75</v>
      </c>
      <c r="P51" s="187" t="n">
        <v>25</v>
      </c>
      <c r="Q51" s="187"/>
      <c r="R51" s="187"/>
      <c r="S51" s="209" t="s">
        <v>243</v>
      </c>
      <c r="T51" s="191"/>
      <c r="U51" s="208" t="n">
        <v>220.75</v>
      </c>
      <c r="V51" s="187" t="n">
        <v>25</v>
      </c>
      <c r="W51" s="187" t="s">
        <v>187</v>
      </c>
      <c r="X51" s="187"/>
      <c r="Y51" s="209" t="s">
        <v>244</v>
      </c>
      <c r="Z51" s="191"/>
      <c r="AA51" s="208"/>
      <c r="AB51" s="187"/>
      <c r="AC51" s="187"/>
      <c r="AD51" s="187"/>
      <c r="AE51" s="209"/>
      <c r="AF51" s="191"/>
      <c r="AG51" s="208"/>
      <c r="AH51" s="187"/>
      <c r="AI51" s="187"/>
      <c r="AJ51" s="187"/>
      <c r="AK51" s="209"/>
      <c r="AL51" s="191"/>
      <c r="AM51" s="208"/>
      <c r="AN51" s="187"/>
      <c r="AO51" s="187"/>
      <c r="AP51" s="187"/>
      <c r="AQ51" s="209"/>
      <c r="AR51" s="191"/>
    </row>
    <row r="52" customFormat="false" ht="15" hidden="false" customHeight="true" outlineLevel="0" collapsed="false">
      <c r="B52" s="187" t="s">
        <v>28</v>
      </c>
      <c r="C52" s="188" t="s">
        <v>172</v>
      </c>
      <c r="D52" s="189"/>
      <c r="E52" s="189"/>
      <c r="F52" s="187"/>
      <c r="G52" s="190"/>
      <c r="H52" s="187"/>
      <c r="I52" s="191"/>
      <c r="J52" s="192"/>
      <c r="K52" s="198"/>
      <c r="L52" s="191"/>
      <c r="N52" s="248" t="s">
        <v>405</v>
      </c>
      <c r="O52" s="208"/>
      <c r="P52" s="187"/>
      <c r="Q52" s="187"/>
      <c r="R52" s="187"/>
      <c r="S52" s="209"/>
      <c r="T52" s="191"/>
      <c r="U52" s="208"/>
      <c r="V52" s="187"/>
      <c r="W52" s="187"/>
      <c r="X52" s="187"/>
      <c r="Y52" s="209"/>
      <c r="Z52" s="191"/>
      <c r="AA52" s="208"/>
      <c r="AB52" s="187"/>
      <c r="AC52" s="187"/>
      <c r="AD52" s="187"/>
      <c r="AE52" s="209"/>
      <c r="AF52" s="191"/>
      <c r="AG52" s="208"/>
      <c r="AH52" s="187"/>
      <c r="AI52" s="187"/>
      <c r="AJ52" s="187"/>
      <c r="AK52" s="209"/>
      <c r="AL52" s="191"/>
      <c r="AM52" s="208"/>
      <c r="AN52" s="187"/>
      <c r="AO52" s="187"/>
      <c r="AP52" s="187"/>
      <c r="AQ52" s="209"/>
      <c r="AR52" s="191"/>
    </row>
    <row r="53" customFormat="false" ht="15" hidden="false" customHeight="true" outlineLevel="0" collapsed="false">
      <c r="B53" s="187" t="s">
        <v>28</v>
      </c>
      <c r="C53" s="188" t="s">
        <v>172</v>
      </c>
      <c r="D53" s="189" t="s">
        <v>203</v>
      </c>
      <c r="E53" s="189" t="s">
        <v>204</v>
      </c>
      <c r="F53" s="187" t="n">
        <v>30</v>
      </c>
      <c r="G53" s="190" t="n">
        <v>2750</v>
      </c>
      <c r="H53" s="187" t="s">
        <v>174</v>
      </c>
      <c r="I53" s="191" t="n">
        <v>46054</v>
      </c>
      <c r="J53" s="192" t="s">
        <v>175</v>
      </c>
      <c r="K53" s="198"/>
      <c r="L53" s="191"/>
      <c r="N53" s="199" t="s">
        <v>150</v>
      </c>
      <c r="O53" s="244" t="n">
        <f aca="false">SUM(O54)</f>
        <v>0</v>
      </c>
      <c r="P53" s="237"/>
      <c r="Q53" s="245"/>
      <c r="R53" s="245"/>
      <c r="S53" s="245"/>
      <c r="T53" s="242"/>
      <c r="U53" s="244" t="n">
        <f aca="false">SUM(U54)</f>
        <v>0</v>
      </c>
      <c r="V53" s="237"/>
      <c r="W53" s="245"/>
      <c r="X53" s="245"/>
      <c r="Y53" s="245"/>
      <c r="Z53" s="242"/>
      <c r="AA53" s="244" t="n">
        <f aca="false">SUM(AA54)</f>
        <v>0</v>
      </c>
      <c r="AB53" s="237"/>
      <c r="AC53" s="245"/>
      <c r="AD53" s="245"/>
      <c r="AE53" s="245"/>
      <c r="AF53" s="242"/>
      <c r="AG53" s="244" t="n">
        <f aca="false">SUM(AG54)</f>
        <v>0</v>
      </c>
      <c r="AH53" s="237"/>
      <c r="AI53" s="245"/>
      <c r="AJ53" s="245"/>
      <c r="AK53" s="245"/>
      <c r="AL53" s="242"/>
      <c r="AM53" s="244" t="n">
        <f aca="false">SUM(AM54)</f>
        <v>0</v>
      </c>
      <c r="AN53" s="237"/>
      <c r="AO53" s="245"/>
      <c r="AP53" s="245"/>
      <c r="AQ53" s="245"/>
      <c r="AR53" s="242"/>
    </row>
    <row r="54" customFormat="false" ht="15" hidden="false" customHeight="true" outlineLevel="0" collapsed="false">
      <c r="B54" s="187" t="s">
        <v>28</v>
      </c>
      <c r="C54" s="188" t="s">
        <v>172</v>
      </c>
      <c r="D54" s="189" t="s">
        <v>205</v>
      </c>
      <c r="E54" s="189" t="s">
        <v>197</v>
      </c>
      <c r="F54" s="187" t="n">
        <v>30</v>
      </c>
      <c r="G54" s="190" t="n">
        <v>600</v>
      </c>
      <c r="H54" s="187" t="s">
        <v>174</v>
      </c>
      <c r="I54" s="191" t="n">
        <v>46054</v>
      </c>
      <c r="J54" s="192" t="s">
        <v>175</v>
      </c>
      <c r="K54" s="246" t="n">
        <v>600</v>
      </c>
      <c r="L54" s="191" t="n">
        <v>46023</v>
      </c>
      <c r="N54" s="189" t="s">
        <v>406</v>
      </c>
      <c r="O54" s="208"/>
      <c r="P54" s="187"/>
      <c r="Q54" s="187"/>
      <c r="R54" s="187"/>
      <c r="S54" s="209"/>
      <c r="T54" s="191"/>
      <c r="U54" s="208"/>
      <c r="V54" s="187"/>
      <c r="W54" s="187"/>
      <c r="X54" s="187"/>
      <c r="Y54" s="209"/>
      <c r="Z54" s="191"/>
      <c r="AA54" s="208"/>
      <c r="AB54" s="187"/>
      <c r="AC54" s="187"/>
      <c r="AD54" s="187"/>
      <c r="AE54" s="209"/>
      <c r="AF54" s="191"/>
      <c r="AG54" s="208"/>
      <c r="AH54" s="187"/>
      <c r="AI54" s="187"/>
      <c r="AJ54" s="187"/>
      <c r="AK54" s="209"/>
      <c r="AL54" s="191"/>
      <c r="AM54" s="208"/>
      <c r="AN54" s="187"/>
      <c r="AO54" s="187"/>
      <c r="AP54" s="187"/>
      <c r="AQ54" s="209"/>
      <c r="AR54" s="191"/>
    </row>
    <row r="55" customFormat="false" ht="15" hidden="false" customHeight="true" outlineLevel="0" collapsed="false">
      <c r="B55" s="234" t="s">
        <v>407</v>
      </c>
      <c r="C55" s="235"/>
      <c r="D55" s="236"/>
      <c r="E55" s="236"/>
      <c r="F55" s="237"/>
      <c r="G55" s="238" t="n">
        <f aca="false">SUM(G30:G54)</f>
        <v>29900</v>
      </c>
      <c r="H55" s="237"/>
      <c r="I55" s="239"/>
      <c r="J55" s="240"/>
      <c r="K55" s="241" t="n">
        <f aca="false">SUM(K30:K54)</f>
        <v>7100</v>
      </c>
      <c r="L55" s="242"/>
      <c r="N55" s="202" t="s">
        <v>408</v>
      </c>
      <c r="O55" s="249" t="n">
        <f aca="false">SUM(O56:O63)</f>
        <v>4037.57</v>
      </c>
      <c r="P55" s="250"/>
      <c r="Q55" s="251"/>
      <c r="R55" s="251"/>
      <c r="S55" s="251"/>
      <c r="T55" s="252"/>
      <c r="U55" s="249" t="n">
        <f aca="false">SUM(U56:U63)</f>
        <v>3911.01</v>
      </c>
      <c r="V55" s="250"/>
      <c r="W55" s="251"/>
      <c r="X55" s="251"/>
      <c r="Y55" s="251"/>
      <c r="Z55" s="252"/>
      <c r="AA55" s="249" t="n">
        <f aca="false">SUM(AA56:AA63)</f>
        <v>3642.81</v>
      </c>
      <c r="AB55" s="250"/>
      <c r="AC55" s="251"/>
      <c r="AD55" s="251"/>
      <c r="AE55" s="251"/>
      <c r="AF55" s="252"/>
      <c r="AG55" s="249" t="n">
        <f aca="false">SUM(AG56:AG63)</f>
        <v>3642.81</v>
      </c>
      <c r="AH55" s="250"/>
      <c r="AI55" s="251"/>
      <c r="AJ55" s="251"/>
      <c r="AK55" s="251"/>
      <c r="AL55" s="252"/>
      <c r="AM55" s="249" t="n">
        <f aca="false">SUM(AM56:AM63)</f>
        <v>3642.81</v>
      </c>
      <c r="AN55" s="250"/>
      <c r="AO55" s="251"/>
      <c r="AP55" s="251"/>
      <c r="AQ55" s="251"/>
      <c r="AR55" s="252"/>
    </row>
    <row r="56" customFormat="false" ht="15" hidden="false" customHeight="true" outlineLevel="0" collapsed="false">
      <c r="B56" s="187" t="s">
        <v>31</v>
      </c>
      <c r="C56" s="188" t="s">
        <v>172</v>
      </c>
      <c r="D56" s="189" t="s">
        <v>83</v>
      </c>
      <c r="E56" s="189" t="s">
        <v>173</v>
      </c>
      <c r="F56" s="187" t="n">
        <v>5</v>
      </c>
      <c r="G56" s="190" t="n">
        <v>800</v>
      </c>
      <c r="H56" s="187" t="s">
        <v>174</v>
      </c>
      <c r="I56" s="191" t="n">
        <v>46054</v>
      </c>
      <c r="J56" s="192" t="s">
        <v>175</v>
      </c>
      <c r="K56" s="193"/>
      <c r="L56" s="194"/>
      <c r="N56" s="189" t="s">
        <v>275</v>
      </c>
      <c r="O56" s="208" t="n">
        <v>1639.98</v>
      </c>
      <c r="P56" s="187" t="n">
        <v>5</v>
      </c>
      <c r="Q56" s="187" t="s">
        <v>204</v>
      </c>
      <c r="R56" s="187" t="s">
        <v>175</v>
      </c>
      <c r="S56" s="209" t="s">
        <v>246</v>
      </c>
      <c r="T56" s="191" t="n">
        <v>45992</v>
      </c>
      <c r="U56" s="208" t="n">
        <v>1938.41</v>
      </c>
      <c r="V56" s="187" t="n">
        <v>5</v>
      </c>
      <c r="W56" s="187" t="s">
        <v>204</v>
      </c>
      <c r="X56" s="187" t="s">
        <v>175</v>
      </c>
      <c r="Y56" s="209" t="s">
        <v>246</v>
      </c>
      <c r="Z56" s="191" t="n">
        <v>46023</v>
      </c>
      <c r="AA56" s="208" t="n">
        <v>1938.41</v>
      </c>
      <c r="AB56" s="187" t="n">
        <v>5</v>
      </c>
      <c r="AC56" s="187"/>
      <c r="AD56" s="187"/>
      <c r="AE56" s="209"/>
      <c r="AF56" s="191"/>
      <c r="AG56" s="208" t="n">
        <v>1938.41</v>
      </c>
      <c r="AH56" s="187" t="n">
        <v>5</v>
      </c>
      <c r="AI56" s="187"/>
      <c r="AJ56" s="187"/>
      <c r="AK56" s="209" t="s">
        <v>246</v>
      </c>
      <c r="AL56" s="191"/>
      <c r="AM56" s="208" t="n">
        <v>1938.41</v>
      </c>
      <c r="AN56" s="187" t="n">
        <v>5</v>
      </c>
      <c r="AO56" s="187" t="s">
        <v>204</v>
      </c>
      <c r="AP56" s="187" t="s">
        <v>175</v>
      </c>
      <c r="AQ56" s="209" t="s">
        <v>246</v>
      </c>
      <c r="AR56" s="191" t="n">
        <v>45962</v>
      </c>
    </row>
    <row r="57" customFormat="false" ht="15" hidden="false" customHeight="true" outlineLevel="0" collapsed="false">
      <c r="B57" s="187" t="s">
        <v>31</v>
      </c>
      <c r="C57" s="188" t="s">
        <v>172</v>
      </c>
      <c r="D57" s="189" t="s">
        <v>176</v>
      </c>
      <c r="E57" s="189" t="s">
        <v>177</v>
      </c>
      <c r="F57" s="187" t="n">
        <v>5</v>
      </c>
      <c r="G57" s="190" t="n">
        <v>1200</v>
      </c>
      <c r="H57" s="187" t="s">
        <v>212</v>
      </c>
      <c r="I57" s="191" t="n">
        <v>46054</v>
      </c>
      <c r="J57" s="192"/>
      <c r="K57" s="198"/>
      <c r="L57" s="191"/>
      <c r="N57" s="189" t="s">
        <v>409</v>
      </c>
      <c r="O57" s="208"/>
      <c r="P57" s="187"/>
      <c r="Q57" s="187"/>
      <c r="R57" s="187"/>
      <c r="S57" s="209"/>
      <c r="T57" s="191"/>
      <c r="U57" s="208"/>
      <c r="V57" s="187"/>
      <c r="W57" s="187"/>
      <c r="X57" s="187"/>
      <c r="Y57" s="209"/>
      <c r="Z57" s="191"/>
      <c r="AA57" s="208"/>
      <c r="AB57" s="187"/>
      <c r="AC57" s="187"/>
      <c r="AD57" s="187"/>
      <c r="AE57" s="209"/>
      <c r="AF57" s="191"/>
      <c r="AG57" s="208"/>
      <c r="AH57" s="187"/>
      <c r="AI57" s="187"/>
      <c r="AJ57" s="187"/>
      <c r="AK57" s="209"/>
      <c r="AL57" s="191"/>
      <c r="AM57" s="208"/>
      <c r="AN57" s="187"/>
      <c r="AO57" s="187"/>
      <c r="AP57" s="187"/>
      <c r="AQ57" s="209"/>
      <c r="AR57" s="191"/>
    </row>
    <row r="58" customFormat="false" ht="15" hidden="false" customHeight="true" outlineLevel="0" collapsed="false">
      <c r="B58" s="187" t="s">
        <v>31</v>
      </c>
      <c r="C58" s="188" t="s">
        <v>207</v>
      </c>
      <c r="D58" s="189"/>
      <c r="E58" s="189"/>
      <c r="F58" s="187"/>
      <c r="G58" s="190"/>
      <c r="H58" s="187"/>
      <c r="I58" s="191"/>
      <c r="J58" s="191"/>
      <c r="K58" s="198"/>
      <c r="L58" s="191"/>
      <c r="N58" s="189" t="s">
        <v>276</v>
      </c>
      <c r="O58" s="208" t="n">
        <v>80</v>
      </c>
      <c r="P58" s="187"/>
      <c r="Q58" s="187"/>
      <c r="R58" s="187"/>
      <c r="S58" s="209"/>
      <c r="T58" s="191"/>
      <c r="U58" s="208" t="n">
        <v>80</v>
      </c>
      <c r="V58" s="187"/>
      <c r="W58" s="187"/>
      <c r="X58" s="187"/>
      <c r="Y58" s="209"/>
      <c r="Z58" s="191"/>
      <c r="AA58" s="208" t="n">
        <v>80</v>
      </c>
      <c r="AB58" s="187"/>
      <c r="AC58" s="187"/>
      <c r="AD58" s="187"/>
      <c r="AE58" s="209"/>
      <c r="AF58" s="191"/>
      <c r="AG58" s="208" t="n">
        <v>80</v>
      </c>
      <c r="AH58" s="187"/>
      <c r="AI58" s="187"/>
      <c r="AJ58" s="187"/>
      <c r="AK58" s="209"/>
      <c r="AL58" s="191"/>
      <c r="AM58" s="208" t="n">
        <v>80</v>
      </c>
      <c r="AN58" s="187"/>
      <c r="AO58" s="187"/>
      <c r="AP58" s="187"/>
      <c r="AQ58" s="209"/>
      <c r="AR58" s="191"/>
    </row>
    <row r="59" customFormat="false" ht="15" hidden="false" customHeight="true" outlineLevel="0" collapsed="false">
      <c r="B59" s="187" t="s">
        <v>31</v>
      </c>
      <c r="C59" s="188" t="s">
        <v>207</v>
      </c>
      <c r="D59" s="189"/>
      <c r="E59" s="189"/>
      <c r="F59" s="187"/>
      <c r="G59" s="190"/>
      <c r="H59" s="187"/>
      <c r="I59" s="191"/>
      <c r="J59" s="191"/>
      <c r="K59" s="198"/>
      <c r="L59" s="191"/>
      <c r="N59" s="189" t="s">
        <v>410</v>
      </c>
      <c r="O59" s="208" t="n">
        <v>135</v>
      </c>
      <c r="P59" s="187" t="n">
        <v>25</v>
      </c>
      <c r="Q59" s="187"/>
      <c r="R59" s="187" t="s">
        <v>175</v>
      </c>
      <c r="S59" s="209"/>
      <c r="T59" s="191" t="n">
        <v>46023</v>
      </c>
      <c r="U59" s="208" t="n">
        <v>140.47</v>
      </c>
      <c r="V59" s="187" t="n">
        <v>25</v>
      </c>
      <c r="W59" s="187" t="s">
        <v>204</v>
      </c>
      <c r="X59" s="187"/>
      <c r="Y59" s="209"/>
      <c r="Z59" s="191"/>
      <c r="AA59" s="208" t="n">
        <v>85.25</v>
      </c>
      <c r="AB59" s="187" t="n">
        <v>25</v>
      </c>
      <c r="AC59" s="187"/>
      <c r="AD59" s="187"/>
      <c r="AE59" s="209"/>
      <c r="AF59" s="191"/>
      <c r="AG59" s="208" t="n">
        <v>85.25</v>
      </c>
      <c r="AH59" s="187" t="n">
        <v>25</v>
      </c>
      <c r="AI59" s="187"/>
      <c r="AJ59" s="187"/>
      <c r="AK59" s="209"/>
      <c r="AL59" s="191"/>
      <c r="AM59" s="208" t="n">
        <v>85.25</v>
      </c>
      <c r="AN59" s="187" t="n">
        <v>25</v>
      </c>
      <c r="AO59" s="187"/>
      <c r="AP59" s="187"/>
      <c r="AQ59" s="209"/>
      <c r="AR59" s="191"/>
    </row>
    <row r="60" customFormat="false" ht="15" hidden="false" customHeight="true" outlineLevel="0" collapsed="false">
      <c r="B60" s="187" t="s">
        <v>31</v>
      </c>
      <c r="C60" s="188" t="s">
        <v>172</v>
      </c>
      <c r="D60" s="189" t="s">
        <v>82</v>
      </c>
      <c r="E60" s="189" t="s">
        <v>177</v>
      </c>
      <c r="F60" s="187" t="n">
        <v>5</v>
      </c>
      <c r="G60" s="190" t="n">
        <v>750</v>
      </c>
      <c r="H60" s="187" t="s">
        <v>212</v>
      </c>
      <c r="I60" s="191" t="n">
        <v>46082</v>
      </c>
      <c r="J60" s="191" t="s">
        <v>175</v>
      </c>
      <c r="K60" s="198"/>
      <c r="L60" s="191"/>
      <c r="N60" s="189" t="s">
        <v>278</v>
      </c>
      <c r="O60" s="208" t="n">
        <v>249.15</v>
      </c>
      <c r="P60" s="191" t="s">
        <v>250</v>
      </c>
      <c r="Q60" s="187" t="s">
        <v>204</v>
      </c>
      <c r="R60" s="187" t="s">
        <v>175</v>
      </c>
      <c r="S60" s="209"/>
      <c r="T60" s="191"/>
      <c r="U60" s="208" t="n">
        <v>211.13</v>
      </c>
      <c r="V60" s="191" t="s">
        <v>250</v>
      </c>
      <c r="W60" s="187" t="s">
        <v>204</v>
      </c>
      <c r="X60" s="187" t="s">
        <v>175</v>
      </c>
      <c r="Y60" s="209"/>
      <c r="Z60" s="191"/>
      <c r="AA60" s="208" t="n">
        <v>249.15</v>
      </c>
      <c r="AB60" s="191" t="s">
        <v>250</v>
      </c>
      <c r="AC60" s="187"/>
      <c r="AD60" s="187"/>
      <c r="AE60" s="209"/>
      <c r="AF60" s="191"/>
      <c r="AG60" s="208" t="n">
        <v>249.15</v>
      </c>
      <c r="AH60" s="191" t="s">
        <v>250</v>
      </c>
      <c r="AI60" s="187" t="s">
        <v>204</v>
      </c>
      <c r="AJ60" s="187"/>
      <c r="AK60" s="209" t="s">
        <v>246</v>
      </c>
      <c r="AL60" s="191" t="n">
        <v>45931</v>
      </c>
      <c r="AM60" s="208" t="n">
        <v>249.15</v>
      </c>
      <c r="AN60" s="191" t="s">
        <v>250</v>
      </c>
      <c r="AO60" s="187" t="s">
        <v>204</v>
      </c>
      <c r="AP60" s="187" t="s">
        <v>175</v>
      </c>
      <c r="AQ60" s="209" t="s">
        <v>246</v>
      </c>
      <c r="AR60" s="191" t="n">
        <v>45992</v>
      </c>
    </row>
    <row r="61" customFormat="false" ht="15" hidden="false" customHeight="true" outlineLevel="0" collapsed="false">
      <c r="B61" s="187" t="s">
        <v>31</v>
      </c>
      <c r="C61" s="210" t="s">
        <v>172</v>
      </c>
      <c r="D61" s="211" t="s">
        <v>72</v>
      </c>
      <c r="E61" s="211" t="s">
        <v>177</v>
      </c>
      <c r="F61" s="212" t="n">
        <v>6</v>
      </c>
      <c r="G61" s="213" t="n">
        <v>2750</v>
      </c>
      <c r="H61" s="212" t="s">
        <v>213</v>
      </c>
      <c r="I61" s="214" t="n">
        <v>46082</v>
      </c>
      <c r="J61" s="215" t="s">
        <v>175</v>
      </c>
      <c r="K61" s="216"/>
      <c r="L61" s="217"/>
      <c r="N61" s="189" t="s">
        <v>411</v>
      </c>
      <c r="O61" s="208" t="n">
        <v>200</v>
      </c>
      <c r="P61" s="187" t="n">
        <v>25</v>
      </c>
      <c r="Q61" s="187"/>
      <c r="R61" s="187"/>
      <c r="S61" s="209"/>
      <c r="T61" s="191"/>
      <c r="U61" s="208" t="n">
        <v>200</v>
      </c>
      <c r="V61" s="187" t="n">
        <v>25</v>
      </c>
      <c r="W61" s="187"/>
      <c r="X61" s="187"/>
      <c r="Y61" s="209"/>
      <c r="Z61" s="191"/>
      <c r="AA61" s="208" t="n">
        <v>200</v>
      </c>
      <c r="AB61" s="187" t="n">
        <v>25</v>
      </c>
      <c r="AC61" s="187"/>
      <c r="AD61" s="187"/>
      <c r="AE61" s="209"/>
      <c r="AF61" s="191"/>
      <c r="AG61" s="208" t="n">
        <v>200</v>
      </c>
      <c r="AH61" s="187" t="n">
        <v>25</v>
      </c>
      <c r="AI61" s="187"/>
      <c r="AJ61" s="187"/>
      <c r="AK61" s="209"/>
      <c r="AL61" s="191"/>
      <c r="AM61" s="208" t="n">
        <v>200</v>
      </c>
      <c r="AN61" s="187" t="n">
        <v>25</v>
      </c>
      <c r="AO61" s="187"/>
      <c r="AP61" s="187"/>
      <c r="AQ61" s="209"/>
      <c r="AR61" s="191"/>
    </row>
    <row r="62" customFormat="false" ht="15" hidden="false" customHeight="true" outlineLevel="0" collapsed="false">
      <c r="B62" s="187" t="s">
        <v>31</v>
      </c>
      <c r="C62" s="188" t="s">
        <v>172</v>
      </c>
      <c r="D62" s="189"/>
      <c r="E62" s="189"/>
      <c r="F62" s="187"/>
      <c r="G62" s="190"/>
      <c r="H62" s="187"/>
      <c r="I62" s="191"/>
      <c r="J62" s="192"/>
      <c r="K62" s="198"/>
      <c r="L62" s="191"/>
      <c r="N62" s="189" t="s">
        <v>412</v>
      </c>
      <c r="O62" s="208" t="n">
        <v>1543.44</v>
      </c>
      <c r="P62" s="187" t="n">
        <v>20</v>
      </c>
      <c r="Q62" s="187" t="s">
        <v>204</v>
      </c>
      <c r="R62" s="187" t="s">
        <v>175</v>
      </c>
      <c r="S62" s="209" t="s">
        <v>246</v>
      </c>
      <c r="T62" s="191" t="n">
        <v>45992</v>
      </c>
      <c r="U62" s="208" t="n">
        <v>1151</v>
      </c>
      <c r="V62" s="187" t="n">
        <v>20</v>
      </c>
      <c r="W62" s="187" t="s">
        <v>204</v>
      </c>
      <c r="X62" s="187" t="s">
        <v>175</v>
      </c>
      <c r="Y62" s="209"/>
      <c r="Z62" s="191"/>
      <c r="AA62" s="208" t="n">
        <v>900</v>
      </c>
      <c r="AB62" s="187" t="n">
        <v>20</v>
      </c>
      <c r="AC62" s="187"/>
      <c r="AD62" s="187"/>
      <c r="AE62" s="209"/>
      <c r="AF62" s="191"/>
      <c r="AG62" s="208" t="n">
        <v>900</v>
      </c>
      <c r="AH62" s="187" t="n">
        <v>20</v>
      </c>
      <c r="AI62" s="187"/>
      <c r="AJ62" s="187"/>
      <c r="AK62" s="209"/>
      <c r="AL62" s="191"/>
      <c r="AM62" s="208" t="n">
        <v>900</v>
      </c>
      <c r="AN62" s="187" t="n">
        <v>20</v>
      </c>
      <c r="AO62" s="187"/>
      <c r="AP62" s="187"/>
      <c r="AQ62" s="209"/>
      <c r="AR62" s="191"/>
    </row>
    <row r="63" customFormat="false" ht="15" hidden="false" customHeight="true" outlineLevel="0" collapsed="false">
      <c r="B63" s="187" t="s">
        <v>31</v>
      </c>
      <c r="C63" s="188" t="s">
        <v>172</v>
      </c>
      <c r="D63" s="189" t="s">
        <v>75</v>
      </c>
      <c r="E63" s="189" t="s">
        <v>180</v>
      </c>
      <c r="F63" s="187" t="n">
        <v>10</v>
      </c>
      <c r="G63" s="190" t="n">
        <v>2500</v>
      </c>
      <c r="H63" s="187" t="s">
        <v>214</v>
      </c>
      <c r="I63" s="191" t="n">
        <v>46054</v>
      </c>
      <c r="J63" s="192"/>
      <c r="K63" s="198"/>
      <c r="L63" s="191"/>
      <c r="N63" s="253" t="s">
        <v>27</v>
      </c>
      <c r="O63" s="244" t="n">
        <f aca="false">O64</f>
        <v>190</v>
      </c>
      <c r="P63" s="245"/>
      <c r="Q63" s="245"/>
      <c r="R63" s="245"/>
      <c r="S63" s="245"/>
      <c r="T63" s="242"/>
      <c r="U63" s="244" t="n">
        <f aca="false">U64</f>
        <v>190</v>
      </c>
      <c r="V63" s="245"/>
      <c r="W63" s="245"/>
      <c r="X63" s="245"/>
      <c r="Y63" s="245"/>
      <c r="Z63" s="242"/>
      <c r="AA63" s="244" t="n">
        <f aca="false">AA64</f>
        <v>190</v>
      </c>
      <c r="AB63" s="245"/>
      <c r="AC63" s="245"/>
      <c r="AD63" s="245"/>
      <c r="AE63" s="245"/>
      <c r="AF63" s="242"/>
      <c r="AG63" s="244" t="n">
        <f aca="false">AG64</f>
        <v>190</v>
      </c>
      <c r="AH63" s="245"/>
      <c r="AI63" s="245"/>
      <c r="AJ63" s="245"/>
      <c r="AK63" s="245"/>
      <c r="AL63" s="242"/>
      <c r="AM63" s="244" t="n">
        <f aca="false">AM64</f>
        <v>190</v>
      </c>
      <c r="AN63" s="245"/>
      <c r="AO63" s="245"/>
      <c r="AP63" s="245"/>
      <c r="AQ63" s="245"/>
      <c r="AR63" s="242"/>
    </row>
    <row r="64" customFormat="false" ht="15" hidden="false" customHeight="true" outlineLevel="0" collapsed="false">
      <c r="B64" s="187" t="s">
        <v>31</v>
      </c>
      <c r="C64" s="188" t="s">
        <v>172</v>
      </c>
      <c r="D64" s="189" t="s">
        <v>182</v>
      </c>
      <c r="E64" s="189" t="s">
        <v>177</v>
      </c>
      <c r="F64" s="187" t="n">
        <v>12</v>
      </c>
      <c r="G64" s="190" t="n">
        <v>1500</v>
      </c>
      <c r="H64" s="187" t="s">
        <v>174</v>
      </c>
      <c r="I64" s="191" t="n">
        <v>46082</v>
      </c>
      <c r="J64" s="192"/>
      <c r="K64" s="198"/>
      <c r="L64" s="191"/>
      <c r="N64" s="156" t="s">
        <v>413</v>
      </c>
      <c r="O64" s="254" t="n">
        <v>190</v>
      </c>
      <c r="P64" s="255" t="n">
        <v>5</v>
      </c>
      <c r="Q64" s="187" t="s">
        <v>204</v>
      </c>
      <c r="R64" s="187" t="s">
        <v>175</v>
      </c>
      <c r="S64" s="209"/>
      <c r="T64" s="191"/>
      <c r="U64" s="254" t="n">
        <v>190</v>
      </c>
      <c r="V64" s="255" t="n">
        <v>5</v>
      </c>
      <c r="W64" s="187" t="s">
        <v>204</v>
      </c>
      <c r="X64" s="187" t="s">
        <v>175</v>
      </c>
      <c r="Y64" s="209" t="s">
        <v>246</v>
      </c>
      <c r="Z64" s="191" t="n">
        <v>46023</v>
      </c>
      <c r="AA64" s="254" t="n">
        <v>190</v>
      </c>
      <c r="AB64" s="255" t="n">
        <v>5</v>
      </c>
      <c r="AC64" s="187"/>
      <c r="AD64" s="187"/>
      <c r="AE64" s="209"/>
      <c r="AF64" s="191"/>
      <c r="AG64" s="254" t="n">
        <v>190</v>
      </c>
      <c r="AH64" s="255" t="n">
        <v>5</v>
      </c>
      <c r="AI64" s="187" t="s">
        <v>204</v>
      </c>
      <c r="AJ64" s="187"/>
      <c r="AK64" s="209" t="s">
        <v>246</v>
      </c>
      <c r="AL64" s="191"/>
      <c r="AM64" s="254" t="n">
        <v>190</v>
      </c>
      <c r="AN64" s="255" t="n">
        <v>5</v>
      </c>
      <c r="AO64" s="187" t="s">
        <v>204</v>
      </c>
      <c r="AP64" s="187" t="s">
        <v>175</v>
      </c>
      <c r="AQ64" s="209" t="s">
        <v>246</v>
      </c>
      <c r="AR64" s="191" t="n">
        <v>45992</v>
      </c>
    </row>
    <row r="65" customFormat="false" ht="15" hidden="false" customHeight="true" outlineLevel="0" collapsed="false">
      <c r="B65" s="187" t="s">
        <v>31</v>
      </c>
      <c r="C65" s="188" t="s">
        <v>172</v>
      </c>
      <c r="D65" s="189" t="s">
        <v>183</v>
      </c>
      <c r="E65" s="189" t="s">
        <v>184</v>
      </c>
      <c r="F65" s="187" t="n">
        <v>16</v>
      </c>
      <c r="G65" s="190" t="n">
        <v>600</v>
      </c>
      <c r="H65" s="187" t="s">
        <v>174</v>
      </c>
      <c r="I65" s="191" t="n">
        <v>46082</v>
      </c>
      <c r="J65" s="192"/>
      <c r="K65" s="198"/>
      <c r="L65" s="191"/>
      <c r="N65" s="256" t="s">
        <v>414</v>
      </c>
      <c r="O65" s="257" t="n">
        <f aca="false">SUM(O7,O31,O45,O50,O53,O55)</f>
        <v>28429.69</v>
      </c>
      <c r="P65" s="258"/>
      <c r="Q65" s="258"/>
      <c r="R65" s="258"/>
      <c r="S65" s="258"/>
      <c r="T65" s="259"/>
      <c r="U65" s="257" t="n">
        <f aca="false">SUM(U7,U31,U45,U50,U53,U55)</f>
        <v>29540.35</v>
      </c>
      <c r="V65" s="258"/>
      <c r="W65" s="258"/>
      <c r="X65" s="258"/>
      <c r="Y65" s="258"/>
      <c r="Z65" s="259"/>
      <c r="AA65" s="257" t="n">
        <f aca="false">SUM(AA7,AA31,AA45,AA50,AA53,AA55)</f>
        <v>28822.3</v>
      </c>
      <c r="AB65" s="258"/>
      <c r="AC65" s="258"/>
      <c r="AD65" s="258"/>
      <c r="AE65" s="258"/>
      <c r="AF65" s="259"/>
      <c r="AG65" s="257" t="n">
        <f aca="false">SUM(AG7,AG31,AG45,AG50,AG53,AG55)</f>
        <v>28322.3</v>
      </c>
      <c r="AH65" s="258"/>
      <c r="AI65" s="258"/>
      <c r="AJ65" s="258"/>
      <c r="AK65" s="258"/>
      <c r="AL65" s="259"/>
      <c r="AM65" s="257" t="n">
        <f aca="false">SUM(AM7,AM31,AM45,AM50,AM53,AM55)</f>
        <v>28322.3</v>
      </c>
      <c r="AN65" s="258"/>
      <c r="AO65" s="258"/>
      <c r="AP65" s="258"/>
      <c r="AQ65" s="258"/>
      <c r="AR65" s="259"/>
    </row>
    <row r="66" customFormat="false" ht="15" hidden="false" customHeight="true" outlineLevel="0" collapsed="false">
      <c r="B66" s="187" t="s">
        <v>31</v>
      </c>
      <c r="C66" s="188" t="s">
        <v>172</v>
      </c>
      <c r="D66" s="189"/>
      <c r="E66" s="189"/>
      <c r="F66" s="187"/>
      <c r="G66" s="190"/>
      <c r="H66" s="187"/>
      <c r="I66" s="191"/>
      <c r="J66" s="192"/>
      <c r="K66" s="198"/>
      <c r="L66" s="191"/>
      <c r="N66" s="256" t="s">
        <v>415</v>
      </c>
      <c r="O66" s="260" t="n">
        <f aca="false">G29</f>
        <v>30260</v>
      </c>
      <c r="P66" s="261"/>
      <c r="Q66" s="261"/>
      <c r="R66" s="261"/>
      <c r="S66" s="261"/>
      <c r="T66" s="261"/>
      <c r="U66" s="260" t="n">
        <f aca="false">G55</f>
        <v>29900</v>
      </c>
      <c r="V66" s="261"/>
      <c r="W66" s="261"/>
      <c r="X66" s="261"/>
      <c r="Y66" s="261"/>
      <c r="Z66" s="261"/>
      <c r="AA66" s="260" t="e">
        <f aca="false">#REF!</f>
        <v>#REF!</v>
      </c>
      <c r="AB66" s="261"/>
      <c r="AC66" s="261"/>
      <c r="AD66" s="261"/>
      <c r="AE66" s="261"/>
      <c r="AF66" s="261"/>
      <c r="AG66" s="260" t="n">
        <f aca="false">C141</f>
        <v>0</v>
      </c>
      <c r="AH66" s="261"/>
      <c r="AI66" s="261"/>
      <c r="AJ66" s="261"/>
      <c r="AK66" s="261"/>
      <c r="AL66" s="261"/>
      <c r="AM66" s="260" t="e">
        <f aca="false">#REF!</f>
        <v>#REF!</v>
      </c>
      <c r="AN66" s="261"/>
      <c r="AO66" s="261"/>
      <c r="AP66" s="261"/>
      <c r="AQ66" s="261"/>
      <c r="AR66" s="261"/>
    </row>
    <row r="67" customFormat="false" ht="15" hidden="false" customHeight="true" outlineLevel="0" collapsed="false">
      <c r="B67" s="187" t="s">
        <v>31</v>
      </c>
      <c r="C67" s="188" t="s">
        <v>172</v>
      </c>
      <c r="D67" s="189" t="s">
        <v>80</v>
      </c>
      <c r="E67" s="189"/>
      <c r="F67" s="187"/>
      <c r="G67" s="190" t="n">
        <v>1000</v>
      </c>
      <c r="H67" s="187"/>
      <c r="I67" s="191"/>
      <c r="J67" s="192"/>
      <c r="K67" s="198"/>
      <c r="L67" s="191"/>
      <c r="N67" s="262" t="s">
        <v>416</v>
      </c>
      <c r="O67" s="263" t="n">
        <f aca="false">O66-O65</f>
        <v>1830.31</v>
      </c>
      <c r="P67" s="264"/>
      <c r="Q67" s="264"/>
      <c r="R67" s="264"/>
      <c r="S67" s="264"/>
      <c r="T67" s="264"/>
      <c r="U67" s="263" t="n">
        <f aca="false">U66-U65</f>
        <v>359.650000000001</v>
      </c>
      <c r="V67" s="264"/>
      <c r="W67" s="264"/>
      <c r="X67" s="264"/>
      <c r="Y67" s="264"/>
      <c r="Z67" s="264"/>
      <c r="AA67" s="263" t="e">
        <f aca="false">AA66-AA65</f>
        <v>#REF!</v>
      </c>
      <c r="AB67" s="264"/>
      <c r="AC67" s="264"/>
      <c r="AD67" s="264"/>
      <c r="AE67" s="264"/>
      <c r="AF67" s="264"/>
      <c r="AG67" s="263" t="n">
        <f aca="false">AG66-AG65</f>
        <v>-28322.3</v>
      </c>
      <c r="AH67" s="264"/>
      <c r="AI67" s="264"/>
      <c r="AJ67" s="264"/>
      <c r="AK67" s="264"/>
      <c r="AL67" s="264"/>
      <c r="AM67" s="263" t="e">
        <f aca="false">AM66-AM65</f>
        <v>#REF!</v>
      </c>
      <c r="AN67" s="264"/>
      <c r="AO67" s="264"/>
      <c r="AP67" s="264"/>
      <c r="AQ67" s="264"/>
      <c r="AR67" s="264"/>
    </row>
    <row r="68" customFormat="false" ht="15" hidden="false" customHeight="true" outlineLevel="0" collapsed="false">
      <c r="B68" s="187" t="s">
        <v>31</v>
      </c>
      <c r="C68" s="188" t="s">
        <v>172</v>
      </c>
      <c r="D68" s="189" t="s">
        <v>73</v>
      </c>
      <c r="E68" s="189" t="s">
        <v>185</v>
      </c>
      <c r="F68" s="187" t="n">
        <v>25</v>
      </c>
      <c r="G68" s="190" t="n">
        <v>1200</v>
      </c>
      <c r="H68" s="187" t="s">
        <v>215</v>
      </c>
      <c r="I68" s="191"/>
      <c r="J68" s="192"/>
      <c r="K68" s="198"/>
      <c r="L68" s="191"/>
    </row>
    <row r="69" customFormat="false" ht="15" hidden="false" customHeight="true" outlineLevel="0" collapsed="false">
      <c r="B69" s="187" t="s">
        <v>31</v>
      </c>
      <c r="C69" s="188" t="s">
        <v>172</v>
      </c>
      <c r="D69" s="189" t="s">
        <v>86</v>
      </c>
      <c r="E69" s="189" t="s">
        <v>187</v>
      </c>
      <c r="F69" s="187"/>
      <c r="G69" s="190"/>
      <c r="H69" s="187"/>
      <c r="I69" s="191"/>
      <c r="J69" s="192"/>
      <c r="K69" s="198"/>
      <c r="L69" s="191"/>
    </row>
    <row r="70" customFormat="false" ht="15" hidden="false" customHeight="true" outlineLevel="0" collapsed="false">
      <c r="B70" s="187" t="s">
        <v>31</v>
      </c>
      <c r="C70" s="188" t="s">
        <v>172</v>
      </c>
      <c r="D70" s="189" t="s">
        <v>189</v>
      </c>
      <c r="E70" s="189" t="s">
        <v>190</v>
      </c>
      <c r="F70" s="187" t="n">
        <v>25</v>
      </c>
      <c r="G70" s="190" t="n">
        <v>2000</v>
      </c>
      <c r="H70" s="187" t="s">
        <v>174</v>
      </c>
      <c r="I70" s="191" t="n">
        <v>46054</v>
      </c>
      <c r="J70" s="192"/>
      <c r="K70" s="198"/>
      <c r="L70" s="191"/>
      <c r="Q70" s="265" t="s">
        <v>417</v>
      </c>
      <c r="R70" s="265"/>
    </row>
    <row r="71" customFormat="false" ht="15" hidden="false" customHeight="true" outlineLevel="0" collapsed="false">
      <c r="B71" s="187" t="s">
        <v>31</v>
      </c>
      <c r="C71" s="188" t="s">
        <v>172</v>
      </c>
      <c r="D71" s="189" t="s">
        <v>191</v>
      </c>
      <c r="E71" s="189" t="s">
        <v>192</v>
      </c>
      <c r="F71" s="187" t="n">
        <v>25</v>
      </c>
      <c r="G71" s="190" t="n">
        <v>1350</v>
      </c>
      <c r="H71" s="187" t="s">
        <v>174</v>
      </c>
      <c r="I71" s="191" t="n">
        <v>46054</v>
      </c>
      <c r="J71" s="192"/>
      <c r="K71" s="198"/>
      <c r="L71" s="191"/>
      <c r="Q71" s="266" t="s">
        <v>187</v>
      </c>
      <c r="R71" s="267"/>
    </row>
    <row r="72" customFormat="false" ht="15" hidden="false" customHeight="true" outlineLevel="0" collapsed="false">
      <c r="B72" s="187" t="s">
        <v>31</v>
      </c>
      <c r="C72" s="188" t="s">
        <v>172</v>
      </c>
      <c r="D72" s="189" t="s">
        <v>64</v>
      </c>
      <c r="E72" s="189" t="s">
        <v>180</v>
      </c>
      <c r="F72" s="187" t="n">
        <v>25</v>
      </c>
      <c r="G72" s="190" t="n">
        <v>1900</v>
      </c>
      <c r="H72" s="187" t="s">
        <v>213</v>
      </c>
      <c r="I72" s="191" t="n">
        <v>46082</v>
      </c>
      <c r="J72" s="192"/>
      <c r="K72" s="193"/>
      <c r="L72" s="191"/>
      <c r="Q72" s="266" t="s">
        <v>204</v>
      </c>
      <c r="R72" s="267"/>
    </row>
    <row r="73" customFormat="false" ht="15" hidden="false" customHeight="true" outlineLevel="0" collapsed="false">
      <c r="B73" s="187" t="s">
        <v>31</v>
      </c>
      <c r="C73" s="188" t="s">
        <v>172</v>
      </c>
      <c r="D73" s="189" t="s">
        <v>194</v>
      </c>
      <c r="E73" s="189" t="s">
        <v>195</v>
      </c>
      <c r="F73" s="187" t="n">
        <v>30</v>
      </c>
      <c r="G73" s="190" t="n">
        <v>4500</v>
      </c>
      <c r="H73" s="187"/>
      <c r="I73" s="191" t="n">
        <v>46082</v>
      </c>
      <c r="J73" s="192"/>
      <c r="K73" s="198"/>
      <c r="L73" s="191"/>
      <c r="Q73" s="266" t="s">
        <v>418</v>
      </c>
      <c r="R73" s="267"/>
    </row>
    <row r="74" customFormat="false" ht="15" hidden="false" customHeight="true" outlineLevel="0" collapsed="false">
      <c r="B74" s="187" t="s">
        <v>31</v>
      </c>
      <c r="C74" s="188" t="s">
        <v>172</v>
      </c>
      <c r="D74" s="226"/>
      <c r="E74" s="226"/>
      <c r="F74" s="227"/>
      <c r="G74" s="228"/>
      <c r="H74" s="187"/>
      <c r="I74" s="191" t="n">
        <v>46082</v>
      </c>
      <c r="J74" s="192"/>
      <c r="K74" s="198"/>
      <c r="L74" s="191"/>
      <c r="Q74" s="266" t="s">
        <v>419</v>
      </c>
      <c r="R74" s="267"/>
    </row>
    <row r="75" customFormat="false" ht="15" hidden="false" customHeight="true" outlineLevel="0" collapsed="false">
      <c r="B75" s="187" t="s">
        <v>31</v>
      </c>
      <c r="C75" s="188" t="s">
        <v>172</v>
      </c>
      <c r="D75" s="226"/>
      <c r="E75" s="189"/>
      <c r="F75" s="187"/>
      <c r="G75" s="190"/>
      <c r="H75" s="187"/>
      <c r="I75" s="191" t="n">
        <v>46082</v>
      </c>
      <c r="J75" s="192"/>
      <c r="K75" s="198"/>
      <c r="L75" s="191"/>
      <c r="Q75" s="268" t="s">
        <v>420</v>
      </c>
      <c r="R75" s="269"/>
    </row>
    <row r="76" customFormat="false" ht="15" hidden="false" customHeight="true" outlineLevel="0" collapsed="false">
      <c r="B76" s="187" t="s">
        <v>31</v>
      </c>
      <c r="C76" s="188" t="s">
        <v>172</v>
      </c>
      <c r="D76" s="189" t="s">
        <v>71</v>
      </c>
      <c r="E76" s="189" t="s">
        <v>199</v>
      </c>
      <c r="F76" s="187" t="n">
        <v>30</v>
      </c>
      <c r="G76" s="190" t="n">
        <v>2000</v>
      </c>
      <c r="H76" s="247" t="s">
        <v>216</v>
      </c>
      <c r="I76" s="191" t="n">
        <v>46082</v>
      </c>
      <c r="J76" s="191"/>
      <c r="K76" s="198"/>
      <c r="L76" s="191"/>
      <c r="Q76" s="268" t="s">
        <v>421</v>
      </c>
      <c r="R76" s="269"/>
    </row>
    <row r="77" customFormat="false" ht="15" hidden="false" customHeight="true" outlineLevel="0" collapsed="false">
      <c r="B77" s="187" t="s">
        <v>31</v>
      </c>
      <c r="C77" s="188" t="s">
        <v>172</v>
      </c>
      <c r="D77" s="189" t="s">
        <v>201</v>
      </c>
      <c r="E77" s="189" t="s">
        <v>177</v>
      </c>
      <c r="F77" s="187" t="n">
        <v>28</v>
      </c>
      <c r="G77" s="190" t="n">
        <v>3000</v>
      </c>
      <c r="H77" s="187" t="s">
        <v>174</v>
      </c>
      <c r="I77" s="191" t="n">
        <v>46082</v>
      </c>
      <c r="J77" s="192"/>
      <c r="K77" s="198"/>
      <c r="L77" s="191"/>
      <c r="Q77" s="270" t="s">
        <v>422</v>
      </c>
      <c r="R77" s="271"/>
    </row>
    <row r="78" customFormat="false" ht="15" hidden="false" customHeight="true" outlineLevel="0" collapsed="false">
      <c r="B78" s="187" t="s">
        <v>31</v>
      </c>
      <c r="C78" s="188" t="s">
        <v>172</v>
      </c>
      <c r="D78" s="189"/>
      <c r="E78" s="189"/>
      <c r="F78" s="187"/>
      <c r="G78" s="190"/>
      <c r="H78" s="187"/>
      <c r="I78" s="191"/>
      <c r="J78" s="192"/>
      <c r="K78" s="198"/>
      <c r="L78" s="191"/>
      <c r="Q78" s="266" t="s">
        <v>175</v>
      </c>
      <c r="R78" s="269"/>
    </row>
    <row r="79" customFormat="false" ht="15" hidden="false" customHeight="true" outlineLevel="0" collapsed="false">
      <c r="B79" s="187" t="s">
        <v>31</v>
      </c>
      <c r="C79" s="188" t="s">
        <v>172</v>
      </c>
      <c r="D79" s="189" t="s">
        <v>203</v>
      </c>
      <c r="E79" s="189" t="s">
        <v>204</v>
      </c>
      <c r="F79" s="187" t="n">
        <v>30</v>
      </c>
      <c r="G79" s="190" t="n">
        <v>2000</v>
      </c>
      <c r="H79" s="187" t="s">
        <v>174</v>
      </c>
      <c r="I79" s="191" t="n">
        <v>46082</v>
      </c>
      <c r="J79" s="192"/>
      <c r="K79" s="198"/>
      <c r="L79" s="191"/>
      <c r="Q79" s="266" t="s">
        <v>188</v>
      </c>
      <c r="R79" s="269"/>
    </row>
    <row r="80" customFormat="false" ht="15" hidden="false" customHeight="true" outlineLevel="0" collapsed="false">
      <c r="B80" s="187" t="s">
        <v>31</v>
      </c>
      <c r="C80" s="188" t="s">
        <v>172</v>
      </c>
      <c r="D80" s="189" t="s">
        <v>205</v>
      </c>
      <c r="E80" s="189" t="s">
        <v>197</v>
      </c>
      <c r="F80" s="187" t="n">
        <v>30</v>
      </c>
      <c r="G80" s="190"/>
      <c r="H80" s="187" t="s">
        <v>174</v>
      </c>
      <c r="I80" s="191" t="n">
        <v>46082</v>
      </c>
      <c r="J80" s="192"/>
      <c r="K80" s="198"/>
      <c r="L80" s="191"/>
      <c r="Q80" s="266" t="s">
        <v>423</v>
      </c>
      <c r="R80" s="269"/>
    </row>
    <row r="81" customFormat="false" ht="15" hidden="false" customHeight="true" outlineLevel="0" collapsed="false">
      <c r="B81" s="234" t="s">
        <v>424</v>
      </c>
      <c r="C81" s="235"/>
      <c r="D81" s="236"/>
      <c r="E81" s="236"/>
      <c r="F81" s="237"/>
      <c r="G81" s="238" t="n">
        <f aca="false">SUM(G56:G80)</f>
        <v>29050</v>
      </c>
      <c r="H81" s="237"/>
      <c r="I81" s="239"/>
      <c r="J81" s="240"/>
      <c r="K81" s="241" t="n">
        <f aca="false">SUM(K56:K80)</f>
        <v>0</v>
      </c>
      <c r="L81" s="242"/>
      <c r="N81" s="157"/>
      <c r="Q81" s="270" t="s">
        <v>425</v>
      </c>
      <c r="R81" s="271"/>
    </row>
    <row r="82" customFormat="false" ht="15" hidden="false" customHeight="true" outlineLevel="0" collapsed="false">
      <c r="B82" s="187"/>
      <c r="C82" s="188"/>
      <c r="D82" s="189"/>
      <c r="E82" s="189"/>
      <c r="F82" s="187"/>
      <c r="G82" s="190"/>
      <c r="H82" s="187"/>
      <c r="I82" s="191"/>
      <c r="J82" s="192"/>
      <c r="K82" s="193"/>
      <c r="L82" s="194"/>
      <c r="N82" s="157"/>
      <c r="Q82" s="266" t="s">
        <v>246</v>
      </c>
      <c r="R82" s="269"/>
    </row>
    <row r="83" customFormat="false" ht="15" hidden="false" customHeight="true" outlineLevel="0" collapsed="false">
      <c r="B83" s="187"/>
      <c r="C83" s="188"/>
      <c r="D83" s="189"/>
      <c r="E83" s="189"/>
      <c r="F83" s="187"/>
      <c r="G83" s="190"/>
      <c r="H83" s="187"/>
      <c r="I83" s="191"/>
      <c r="J83" s="192"/>
      <c r="K83" s="198"/>
      <c r="L83" s="191"/>
      <c r="N83" s="157"/>
      <c r="Q83" s="266" t="s">
        <v>426</v>
      </c>
      <c r="R83" s="269"/>
    </row>
    <row r="84" customFormat="false" ht="15" hidden="false" customHeight="true" outlineLevel="0" collapsed="false">
      <c r="B84" s="187"/>
      <c r="C84" s="188"/>
      <c r="D84" s="189"/>
      <c r="E84" s="189"/>
      <c r="F84" s="187"/>
      <c r="G84" s="190"/>
      <c r="H84" s="187"/>
      <c r="I84" s="191"/>
      <c r="J84" s="191"/>
      <c r="K84" s="198"/>
      <c r="L84" s="191"/>
      <c r="Q84" s="266" t="s">
        <v>427</v>
      </c>
      <c r="R84" s="269"/>
    </row>
    <row r="85" customFormat="false" ht="15" hidden="false" customHeight="true" outlineLevel="0" collapsed="false">
      <c r="B85" s="187"/>
      <c r="C85" s="188"/>
      <c r="D85" s="189"/>
      <c r="E85" s="189"/>
      <c r="F85" s="187"/>
      <c r="G85" s="190"/>
      <c r="H85" s="187"/>
      <c r="I85" s="191"/>
      <c r="J85" s="191"/>
      <c r="K85" s="198"/>
      <c r="L85" s="191"/>
      <c r="Q85" s="266" t="s">
        <v>428</v>
      </c>
      <c r="R85" s="269"/>
    </row>
    <row r="86" customFormat="false" ht="15" hidden="false" customHeight="true" outlineLevel="0" collapsed="false">
      <c r="B86" s="187"/>
      <c r="C86" s="188"/>
      <c r="D86" s="189"/>
      <c r="E86" s="189"/>
      <c r="F86" s="187"/>
      <c r="G86" s="190"/>
      <c r="H86" s="187"/>
      <c r="I86" s="191"/>
      <c r="J86" s="191"/>
      <c r="K86" s="198"/>
      <c r="L86" s="191"/>
      <c r="Q86" s="266" t="s">
        <v>429</v>
      </c>
      <c r="R86" s="269"/>
    </row>
    <row r="87" customFormat="false" ht="15" hidden="false" customHeight="true" outlineLevel="0" collapsed="false">
      <c r="B87" s="272"/>
      <c r="C87" s="210"/>
      <c r="D87" s="211"/>
      <c r="E87" s="211"/>
      <c r="F87" s="212"/>
      <c r="G87" s="213"/>
      <c r="H87" s="212"/>
      <c r="I87" s="214"/>
      <c r="J87" s="215"/>
      <c r="K87" s="216"/>
      <c r="L87" s="217"/>
      <c r="Q87" s="266" t="s">
        <v>430</v>
      </c>
      <c r="R87" s="269"/>
    </row>
    <row r="88" customFormat="false" ht="15" hidden="false" customHeight="true" outlineLevel="0" collapsed="false">
      <c r="B88" s="187"/>
      <c r="C88" s="188"/>
      <c r="D88" s="189"/>
      <c r="E88" s="189"/>
      <c r="F88" s="187"/>
      <c r="G88" s="190"/>
      <c r="H88" s="187"/>
      <c r="I88" s="191"/>
      <c r="J88" s="192"/>
      <c r="K88" s="198"/>
      <c r="L88" s="191"/>
      <c r="Q88" s="266" t="s">
        <v>431</v>
      </c>
      <c r="R88" s="269"/>
    </row>
    <row r="89" customFormat="false" ht="15" hidden="false" customHeight="true" outlineLevel="0" collapsed="false">
      <c r="B89" s="187"/>
      <c r="C89" s="188"/>
      <c r="D89" s="189"/>
      <c r="E89" s="189"/>
      <c r="F89" s="187"/>
      <c r="G89" s="190"/>
      <c r="H89" s="187"/>
      <c r="I89" s="191"/>
      <c r="J89" s="192"/>
      <c r="K89" s="198"/>
      <c r="L89" s="191"/>
      <c r="Q89" s="266" t="s">
        <v>432</v>
      </c>
      <c r="R89" s="269"/>
    </row>
    <row r="90" customFormat="false" ht="15" hidden="false" customHeight="true" outlineLevel="0" collapsed="false">
      <c r="B90" s="187"/>
      <c r="C90" s="188"/>
      <c r="D90" s="189"/>
      <c r="E90" s="189"/>
      <c r="F90" s="187"/>
      <c r="G90" s="190"/>
      <c r="H90" s="187"/>
      <c r="I90" s="191"/>
      <c r="J90" s="192"/>
      <c r="K90" s="198"/>
      <c r="L90" s="191"/>
      <c r="Q90" s="266" t="s">
        <v>433</v>
      </c>
      <c r="R90" s="269"/>
    </row>
    <row r="91" customFormat="false" ht="15" hidden="false" customHeight="true" outlineLevel="0" collapsed="false">
      <c r="B91" s="187"/>
      <c r="C91" s="188"/>
      <c r="D91" s="189"/>
      <c r="E91" s="189"/>
      <c r="F91" s="187"/>
      <c r="G91" s="190"/>
      <c r="H91" s="187"/>
      <c r="I91" s="191"/>
      <c r="J91" s="192"/>
      <c r="K91" s="198"/>
      <c r="L91" s="191"/>
      <c r="Q91" s="266" t="s">
        <v>434</v>
      </c>
      <c r="R91" s="269"/>
    </row>
    <row r="92" customFormat="false" ht="15" hidden="false" customHeight="true" outlineLevel="0" collapsed="false">
      <c r="B92" s="187"/>
      <c r="C92" s="188"/>
      <c r="D92" s="189"/>
      <c r="E92" s="189"/>
      <c r="F92" s="187"/>
      <c r="G92" s="190"/>
      <c r="H92" s="187"/>
      <c r="I92" s="191"/>
      <c r="J92" s="192"/>
      <c r="K92" s="198"/>
      <c r="L92" s="191"/>
      <c r="Q92" s="266" t="s">
        <v>435</v>
      </c>
      <c r="R92" s="269"/>
    </row>
    <row r="93" customFormat="false" ht="15" hidden="false" customHeight="true" outlineLevel="0" collapsed="false">
      <c r="B93" s="187"/>
      <c r="C93" s="188"/>
      <c r="D93" s="189"/>
      <c r="E93" s="189"/>
      <c r="F93" s="187"/>
      <c r="G93" s="190"/>
      <c r="H93" s="187"/>
      <c r="I93" s="191"/>
      <c r="J93" s="192"/>
      <c r="K93" s="198"/>
      <c r="L93" s="191"/>
      <c r="Q93" s="266" t="s">
        <v>243</v>
      </c>
      <c r="R93" s="269"/>
    </row>
    <row r="94" customFormat="false" ht="15" hidden="false" customHeight="true" outlineLevel="0" collapsed="false">
      <c r="B94" s="187"/>
      <c r="C94" s="188"/>
      <c r="D94" s="189"/>
      <c r="E94" s="189"/>
      <c r="F94" s="187"/>
      <c r="G94" s="190"/>
      <c r="H94" s="187"/>
      <c r="I94" s="191"/>
      <c r="J94" s="192"/>
      <c r="K94" s="198"/>
      <c r="L94" s="191"/>
      <c r="Q94" s="266" t="s">
        <v>244</v>
      </c>
      <c r="R94" s="269"/>
    </row>
    <row r="95" customFormat="false" ht="15" hidden="false" customHeight="true" outlineLevel="0" collapsed="false">
      <c r="B95" s="187"/>
      <c r="C95" s="188"/>
      <c r="D95" s="189"/>
      <c r="E95" s="189"/>
      <c r="F95" s="187"/>
      <c r="G95" s="190"/>
      <c r="H95" s="187"/>
      <c r="I95" s="191"/>
      <c r="J95" s="192"/>
      <c r="K95" s="198"/>
      <c r="L95" s="191"/>
      <c r="Q95" s="270" t="s">
        <v>436</v>
      </c>
      <c r="R95" s="271"/>
    </row>
    <row r="96" customFormat="false" ht="15" hidden="false" customHeight="true" outlineLevel="0" collapsed="false">
      <c r="B96" s="187"/>
      <c r="C96" s="188"/>
      <c r="D96" s="189"/>
      <c r="E96" s="189"/>
      <c r="F96" s="187"/>
      <c r="G96" s="190"/>
      <c r="H96" s="187"/>
      <c r="I96" s="191"/>
      <c r="J96" s="192"/>
      <c r="K96" s="198"/>
      <c r="L96" s="191"/>
      <c r="Q96" s="273" t="n">
        <v>45931</v>
      </c>
      <c r="R96" s="269"/>
    </row>
    <row r="97" customFormat="false" ht="15" hidden="false" customHeight="true" outlineLevel="0" collapsed="false">
      <c r="B97" s="187"/>
      <c r="C97" s="188"/>
      <c r="D97" s="189"/>
      <c r="E97" s="189"/>
      <c r="F97" s="187"/>
      <c r="G97" s="190"/>
      <c r="H97" s="187"/>
      <c r="I97" s="191"/>
      <c r="J97" s="192"/>
      <c r="K97" s="198"/>
      <c r="L97" s="191"/>
      <c r="Q97" s="273" t="n">
        <v>45962</v>
      </c>
      <c r="R97" s="269"/>
    </row>
    <row r="98" customFormat="false" ht="15" hidden="false" customHeight="true" outlineLevel="0" collapsed="false">
      <c r="B98" s="187"/>
      <c r="C98" s="188"/>
      <c r="D98" s="189"/>
      <c r="E98" s="189"/>
      <c r="F98" s="187"/>
      <c r="G98" s="190"/>
      <c r="H98" s="187"/>
      <c r="I98" s="191"/>
      <c r="J98" s="192"/>
      <c r="K98" s="193"/>
      <c r="L98" s="191"/>
      <c r="Q98" s="273" t="n">
        <v>45992</v>
      </c>
      <c r="R98" s="269"/>
    </row>
    <row r="99" customFormat="false" ht="15" hidden="false" customHeight="true" outlineLevel="0" collapsed="false">
      <c r="B99" s="187"/>
      <c r="C99" s="188"/>
      <c r="D99" s="189"/>
      <c r="E99" s="189"/>
      <c r="F99" s="187"/>
      <c r="G99" s="190"/>
      <c r="H99" s="187"/>
      <c r="I99" s="191"/>
      <c r="J99" s="192"/>
      <c r="K99" s="198"/>
      <c r="L99" s="191"/>
      <c r="Q99" s="273" t="n">
        <v>46023</v>
      </c>
      <c r="R99" s="269"/>
    </row>
    <row r="100" customFormat="false" ht="15" hidden="false" customHeight="true" outlineLevel="0" collapsed="false">
      <c r="B100" s="187"/>
      <c r="C100" s="188"/>
      <c r="D100" s="226"/>
      <c r="E100" s="226"/>
      <c r="F100" s="227"/>
      <c r="G100" s="228"/>
      <c r="H100" s="187"/>
      <c r="I100" s="191"/>
      <c r="J100" s="192"/>
      <c r="K100" s="198"/>
      <c r="L100" s="191"/>
      <c r="Q100" s="273" t="n">
        <v>46054</v>
      </c>
      <c r="R100" s="269"/>
    </row>
    <row r="101" customFormat="false" ht="15" hidden="false" customHeight="true" outlineLevel="0" collapsed="false">
      <c r="B101" s="187"/>
      <c r="C101" s="188"/>
      <c r="D101" s="189"/>
      <c r="E101" s="189"/>
      <c r="F101" s="187"/>
      <c r="G101" s="190"/>
      <c r="H101" s="187"/>
      <c r="I101" s="191"/>
      <c r="J101" s="192"/>
      <c r="K101" s="198"/>
      <c r="L101" s="191"/>
      <c r="Q101" s="273" t="n">
        <v>46082</v>
      </c>
      <c r="R101" s="269"/>
    </row>
    <row r="102" customFormat="false" ht="15" hidden="false" customHeight="true" outlineLevel="0" collapsed="false">
      <c r="B102" s="187"/>
      <c r="C102" s="188"/>
      <c r="D102" s="189"/>
      <c r="E102" s="189"/>
      <c r="F102" s="187"/>
      <c r="G102" s="190"/>
      <c r="H102" s="187"/>
      <c r="I102" s="191"/>
      <c r="J102" s="191"/>
      <c r="K102" s="198"/>
      <c r="L102" s="191"/>
      <c r="Q102" s="274" t="n">
        <v>46113</v>
      </c>
      <c r="R102" s="275"/>
    </row>
    <row r="103" customFormat="false" ht="15" hidden="false" customHeight="true" outlineLevel="0" collapsed="false">
      <c r="B103" s="187"/>
      <c r="C103" s="188"/>
      <c r="D103" s="189"/>
      <c r="E103" s="189"/>
      <c r="F103" s="187"/>
      <c r="G103" s="190"/>
      <c r="H103" s="187"/>
      <c r="I103" s="191"/>
      <c r="J103" s="192"/>
      <c r="K103" s="198"/>
      <c r="L103" s="191"/>
      <c r="Q103" s="233"/>
    </row>
    <row r="104" customFormat="false" ht="15" hidden="false" customHeight="true" outlineLevel="0" collapsed="false">
      <c r="B104" s="187"/>
      <c r="C104" s="188"/>
      <c r="D104" s="189"/>
      <c r="E104" s="189"/>
      <c r="F104" s="187"/>
      <c r="G104" s="190"/>
      <c r="H104" s="187"/>
      <c r="I104" s="191"/>
      <c r="J104" s="192"/>
      <c r="K104" s="198"/>
      <c r="L104" s="191"/>
      <c r="Q104" s="233"/>
    </row>
    <row r="105" customFormat="false" ht="15" hidden="false" customHeight="true" outlineLevel="0" collapsed="false">
      <c r="B105" s="187"/>
      <c r="C105" s="188"/>
      <c r="D105" s="189"/>
      <c r="E105" s="189"/>
      <c r="F105" s="187"/>
      <c r="G105" s="190"/>
      <c r="H105" s="187"/>
      <c r="I105" s="191"/>
      <c r="J105" s="192"/>
      <c r="K105" s="198"/>
      <c r="L105" s="191"/>
      <c r="Q105" s="233"/>
    </row>
    <row r="106" customFormat="false" ht="15" hidden="false" customHeight="true" outlineLevel="0" collapsed="false">
      <c r="B106" s="187"/>
      <c r="C106" s="188"/>
      <c r="D106" s="189"/>
      <c r="E106" s="189"/>
      <c r="F106" s="187"/>
      <c r="G106" s="190"/>
      <c r="H106" s="187"/>
      <c r="I106" s="191"/>
      <c r="J106" s="192"/>
      <c r="K106" s="198"/>
      <c r="L106" s="191"/>
      <c r="Q106" s="233"/>
    </row>
    <row r="107" customFormat="false" ht="15" hidden="false" customHeight="true" outlineLevel="0" collapsed="false">
      <c r="B107" s="234" t="s">
        <v>437</v>
      </c>
      <c r="C107" s="235"/>
      <c r="D107" s="236"/>
      <c r="E107" s="236"/>
      <c r="F107" s="237"/>
      <c r="G107" s="238" t="n">
        <f aca="false">SUM(G82:G106)</f>
        <v>0</v>
      </c>
      <c r="H107" s="237"/>
      <c r="I107" s="239"/>
      <c r="J107" s="240"/>
      <c r="K107" s="241" t="n">
        <f aca="false">SUM(K82:K106)</f>
        <v>0</v>
      </c>
      <c r="L107" s="242"/>
      <c r="Q107" s="233"/>
    </row>
    <row r="108" customFormat="false" ht="15" hidden="false" customHeight="true" outlineLevel="0" collapsed="false">
      <c r="B108" s="187"/>
      <c r="C108" s="188"/>
      <c r="D108" s="189"/>
      <c r="E108" s="189"/>
      <c r="F108" s="187"/>
      <c r="G108" s="190"/>
      <c r="H108" s="187"/>
      <c r="I108" s="191"/>
      <c r="J108" s="192"/>
      <c r="K108" s="193"/>
      <c r="L108" s="194"/>
      <c r="Q108" s="233"/>
    </row>
    <row r="109" customFormat="false" ht="15" hidden="false" customHeight="true" outlineLevel="0" collapsed="false">
      <c r="B109" s="187"/>
      <c r="C109" s="188"/>
      <c r="D109" s="189"/>
      <c r="E109" s="189"/>
      <c r="F109" s="187"/>
      <c r="G109" s="190"/>
      <c r="H109" s="187"/>
      <c r="I109" s="191"/>
      <c r="J109" s="192"/>
      <c r="K109" s="198"/>
      <c r="L109" s="191"/>
      <c r="Q109" s="233"/>
    </row>
    <row r="110" customFormat="false" ht="15" hidden="false" customHeight="true" outlineLevel="0" collapsed="false">
      <c r="B110" s="187"/>
      <c r="C110" s="188"/>
      <c r="D110" s="189"/>
      <c r="E110" s="189"/>
      <c r="F110" s="187"/>
      <c r="G110" s="190"/>
      <c r="H110" s="187"/>
      <c r="I110" s="191"/>
      <c r="J110" s="191"/>
      <c r="K110" s="198"/>
      <c r="L110" s="191"/>
      <c r="Q110" s="233"/>
    </row>
    <row r="111" customFormat="false" ht="15" hidden="false" customHeight="true" outlineLevel="0" collapsed="false">
      <c r="B111" s="187"/>
      <c r="C111" s="188"/>
      <c r="D111" s="189"/>
      <c r="E111" s="189"/>
      <c r="F111" s="187"/>
      <c r="G111" s="190"/>
      <c r="H111" s="187"/>
      <c r="I111" s="191"/>
      <c r="J111" s="191"/>
      <c r="K111" s="198"/>
      <c r="L111" s="191"/>
    </row>
    <row r="112" customFormat="false" ht="15" hidden="false" customHeight="true" outlineLevel="0" collapsed="false">
      <c r="B112" s="187"/>
      <c r="C112" s="188"/>
      <c r="D112" s="189"/>
      <c r="E112" s="189"/>
      <c r="F112" s="187"/>
      <c r="G112" s="190"/>
      <c r="H112" s="187"/>
      <c r="I112" s="191"/>
      <c r="J112" s="191"/>
      <c r="K112" s="198"/>
      <c r="L112" s="191"/>
    </row>
    <row r="113" customFormat="false" ht="15" hidden="false" customHeight="true" outlineLevel="0" collapsed="false">
      <c r="B113" s="272"/>
      <c r="C113" s="210"/>
      <c r="D113" s="211"/>
      <c r="E113" s="211"/>
      <c r="F113" s="212"/>
      <c r="G113" s="213"/>
      <c r="H113" s="212"/>
      <c r="I113" s="214"/>
      <c r="J113" s="215"/>
      <c r="K113" s="216"/>
      <c r="L113" s="217"/>
    </row>
    <row r="114" customFormat="false" ht="15" hidden="false" customHeight="true" outlineLevel="0" collapsed="false">
      <c r="B114" s="187"/>
      <c r="C114" s="188"/>
      <c r="D114" s="189"/>
      <c r="E114" s="189"/>
      <c r="F114" s="187"/>
      <c r="G114" s="190"/>
      <c r="H114" s="187"/>
      <c r="I114" s="191"/>
      <c r="J114" s="192"/>
      <c r="K114" s="198"/>
      <c r="L114" s="191"/>
    </row>
    <row r="115" customFormat="false" ht="15" hidden="false" customHeight="true" outlineLevel="0" collapsed="false">
      <c r="B115" s="187"/>
      <c r="C115" s="188"/>
      <c r="D115" s="189"/>
      <c r="E115" s="189"/>
      <c r="F115" s="187"/>
      <c r="G115" s="190"/>
      <c r="H115" s="187"/>
      <c r="I115" s="191"/>
      <c r="J115" s="192"/>
      <c r="K115" s="198"/>
      <c r="L115" s="191"/>
    </row>
    <row r="116" customFormat="false" ht="15" hidden="false" customHeight="true" outlineLevel="0" collapsed="false">
      <c r="B116" s="187"/>
      <c r="C116" s="188"/>
      <c r="D116" s="189"/>
      <c r="E116" s="189"/>
      <c r="F116" s="187"/>
      <c r="G116" s="190"/>
      <c r="H116" s="187"/>
      <c r="I116" s="191"/>
      <c r="J116" s="192"/>
      <c r="K116" s="198"/>
      <c r="L116" s="191"/>
    </row>
    <row r="117" customFormat="false" ht="15" hidden="false" customHeight="true" outlineLevel="0" collapsed="false">
      <c r="B117" s="187"/>
      <c r="C117" s="188"/>
      <c r="D117" s="189"/>
      <c r="E117" s="189"/>
      <c r="F117" s="187"/>
      <c r="G117" s="190"/>
      <c r="H117" s="187"/>
      <c r="I117" s="191"/>
      <c r="J117" s="192"/>
      <c r="K117" s="198"/>
      <c r="L117" s="191"/>
    </row>
    <row r="118" customFormat="false" ht="15" hidden="false" customHeight="true" outlineLevel="0" collapsed="false">
      <c r="B118" s="187"/>
      <c r="C118" s="188"/>
      <c r="D118" s="189"/>
      <c r="E118" s="189"/>
      <c r="F118" s="187"/>
      <c r="G118" s="190"/>
      <c r="H118" s="187"/>
      <c r="I118" s="191"/>
      <c r="J118" s="192"/>
      <c r="K118" s="198"/>
      <c r="L118" s="191"/>
    </row>
    <row r="119" customFormat="false" ht="15" hidden="false" customHeight="true" outlineLevel="0" collapsed="false">
      <c r="B119" s="187"/>
      <c r="C119" s="188"/>
      <c r="D119" s="189"/>
      <c r="E119" s="189"/>
      <c r="F119" s="187"/>
      <c r="G119" s="190"/>
      <c r="H119" s="187"/>
      <c r="I119" s="191"/>
      <c r="J119" s="192"/>
      <c r="K119" s="198"/>
      <c r="L119" s="191"/>
    </row>
    <row r="120" customFormat="false" ht="15" hidden="false" customHeight="true" outlineLevel="0" collapsed="false">
      <c r="B120" s="187"/>
      <c r="C120" s="188"/>
      <c r="D120" s="189"/>
      <c r="E120" s="189"/>
      <c r="F120" s="187"/>
      <c r="G120" s="190"/>
      <c r="H120" s="187"/>
      <c r="I120" s="191"/>
      <c r="J120" s="192"/>
      <c r="K120" s="198"/>
      <c r="L120" s="191"/>
    </row>
    <row r="121" customFormat="false" ht="15" hidden="false" customHeight="true" outlineLevel="0" collapsed="false">
      <c r="B121" s="187"/>
      <c r="C121" s="188"/>
      <c r="D121" s="189"/>
      <c r="E121" s="189"/>
      <c r="F121" s="187"/>
      <c r="G121" s="190"/>
      <c r="H121" s="187"/>
      <c r="I121" s="191"/>
      <c r="J121" s="192"/>
      <c r="K121" s="198"/>
      <c r="L121" s="191"/>
    </row>
    <row r="122" customFormat="false" ht="15" hidden="false" customHeight="true" outlineLevel="0" collapsed="false">
      <c r="B122" s="187"/>
      <c r="C122" s="188"/>
      <c r="D122" s="189"/>
      <c r="E122" s="189"/>
      <c r="F122" s="187"/>
      <c r="G122" s="190"/>
      <c r="H122" s="187"/>
      <c r="I122" s="191"/>
      <c r="J122" s="192"/>
      <c r="K122" s="198"/>
      <c r="L122" s="191"/>
    </row>
    <row r="123" customFormat="false" ht="15" hidden="false" customHeight="true" outlineLevel="0" collapsed="false">
      <c r="B123" s="187"/>
      <c r="C123" s="188"/>
      <c r="D123" s="189"/>
      <c r="E123" s="189"/>
      <c r="F123" s="187"/>
      <c r="G123" s="190"/>
      <c r="H123" s="187"/>
      <c r="I123" s="191"/>
      <c r="J123" s="192"/>
      <c r="K123" s="198"/>
      <c r="L123" s="191"/>
    </row>
    <row r="124" customFormat="false" ht="15" hidden="false" customHeight="true" outlineLevel="0" collapsed="false">
      <c r="B124" s="187"/>
      <c r="C124" s="188"/>
      <c r="D124" s="189"/>
      <c r="E124" s="189"/>
      <c r="F124" s="187"/>
      <c r="G124" s="190"/>
      <c r="H124" s="187"/>
      <c r="I124" s="191"/>
      <c r="J124" s="192"/>
      <c r="K124" s="193"/>
      <c r="L124" s="191"/>
    </row>
    <row r="125" customFormat="false" ht="15" hidden="false" customHeight="true" outlineLevel="0" collapsed="false">
      <c r="B125" s="187"/>
      <c r="C125" s="188"/>
      <c r="D125" s="189"/>
      <c r="E125" s="189"/>
      <c r="F125" s="187"/>
      <c r="G125" s="190"/>
      <c r="H125" s="187"/>
      <c r="I125" s="191"/>
      <c r="J125" s="192"/>
      <c r="K125" s="198"/>
      <c r="L125" s="191"/>
    </row>
    <row r="126" customFormat="false" ht="15" hidden="false" customHeight="true" outlineLevel="0" collapsed="false">
      <c r="B126" s="187"/>
      <c r="C126" s="188"/>
      <c r="D126" s="226"/>
      <c r="E126" s="226"/>
      <c r="F126" s="227"/>
      <c r="G126" s="228"/>
      <c r="H126" s="187"/>
      <c r="I126" s="191"/>
      <c r="J126" s="192"/>
      <c r="K126" s="198"/>
      <c r="L126" s="191"/>
    </row>
    <row r="127" customFormat="false" ht="15" hidden="false" customHeight="true" outlineLevel="0" collapsed="false">
      <c r="B127" s="187"/>
      <c r="C127" s="188"/>
      <c r="D127" s="189"/>
      <c r="E127" s="189"/>
      <c r="F127" s="187"/>
      <c r="G127" s="190"/>
      <c r="H127" s="187"/>
      <c r="I127" s="191"/>
      <c r="J127" s="192"/>
      <c r="K127" s="198"/>
      <c r="L127" s="191"/>
    </row>
    <row r="128" customFormat="false" ht="15" hidden="false" customHeight="true" outlineLevel="0" collapsed="false">
      <c r="B128" s="187"/>
      <c r="C128" s="188"/>
      <c r="D128" s="189"/>
      <c r="E128" s="189"/>
      <c r="F128" s="187"/>
      <c r="G128" s="190"/>
      <c r="H128" s="187"/>
      <c r="I128" s="191"/>
      <c r="J128" s="191"/>
      <c r="K128" s="198"/>
      <c r="L128" s="191"/>
    </row>
    <row r="129" customFormat="false" ht="15" hidden="false" customHeight="true" outlineLevel="0" collapsed="false">
      <c r="B129" s="187"/>
      <c r="C129" s="188"/>
      <c r="D129" s="189"/>
      <c r="E129" s="189"/>
      <c r="F129" s="187"/>
      <c r="G129" s="190"/>
      <c r="H129" s="187"/>
      <c r="I129" s="191"/>
      <c r="J129" s="192"/>
      <c r="K129" s="198"/>
      <c r="L129" s="191"/>
    </row>
    <row r="130" customFormat="false" ht="15" hidden="false" customHeight="true" outlineLevel="0" collapsed="false">
      <c r="B130" s="187"/>
      <c r="C130" s="188"/>
      <c r="D130" s="189"/>
      <c r="E130" s="189"/>
      <c r="F130" s="187"/>
      <c r="G130" s="190"/>
      <c r="H130" s="187"/>
      <c r="I130" s="191"/>
      <c r="J130" s="192"/>
      <c r="K130" s="198"/>
      <c r="L130" s="191"/>
    </row>
    <row r="131" customFormat="false" ht="15" hidden="false" customHeight="true" outlineLevel="0" collapsed="false">
      <c r="B131" s="187"/>
      <c r="C131" s="188"/>
      <c r="D131" s="189"/>
      <c r="E131" s="189"/>
      <c r="F131" s="187"/>
      <c r="G131" s="190"/>
      <c r="H131" s="187"/>
      <c r="I131" s="191"/>
      <c r="J131" s="192"/>
      <c r="K131" s="198"/>
      <c r="L131" s="191"/>
    </row>
    <row r="132" customFormat="false" ht="15" hidden="false" customHeight="true" outlineLevel="0" collapsed="false">
      <c r="B132" s="187"/>
      <c r="C132" s="188"/>
      <c r="D132" s="189"/>
      <c r="E132" s="189"/>
      <c r="F132" s="187"/>
      <c r="G132" s="190"/>
      <c r="H132" s="187"/>
      <c r="I132" s="191"/>
      <c r="J132" s="192"/>
      <c r="K132" s="198"/>
      <c r="L132" s="191"/>
    </row>
    <row r="133" customFormat="false" ht="15" hidden="false" customHeight="true" outlineLevel="0" collapsed="false">
      <c r="B133" s="234" t="s">
        <v>438</v>
      </c>
      <c r="C133" s="235"/>
      <c r="D133" s="236"/>
      <c r="E133" s="236"/>
      <c r="F133" s="237"/>
      <c r="G133" s="238" t="n">
        <f aca="false">SUM(G108:G132)</f>
        <v>0</v>
      </c>
      <c r="H133" s="237"/>
      <c r="I133" s="239"/>
      <c r="J133" s="240"/>
      <c r="K133" s="241" t="n">
        <f aca="false">SUM(K108:K132)</f>
        <v>0</v>
      </c>
      <c r="L133" s="242"/>
    </row>
    <row r="134" customFormat="false" ht="15" hidden="false" customHeight="true" outlineLevel="0" collapsed="false">
      <c r="B134" s="187"/>
      <c r="C134" s="188"/>
      <c r="D134" s="189"/>
      <c r="E134" s="189"/>
      <c r="F134" s="187"/>
      <c r="G134" s="190"/>
      <c r="H134" s="187"/>
      <c r="I134" s="191"/>
      <c r="J134" s="192"/>
      <c r="K134" s="193"/>
      <c r="L134" s="194"/>
    </row>
    <row r="135" customFormat="false" ht="15" hidden="false" customHeight="true" outlineLevel="0" collapsed="false">
      <c r="B135" s="187"/>
      <c r="C135" s="188"/>
      <c r="D135" s="189"/>
      <c r="E135" s="189"/>
      <c r="F135" s="187"/>
      <c r="G135" s="190"/>
      <c r="H135" s="187"/>
      <c r="I135" s="191"/>
      <c r="J135" s="192"/>
      <c r="K135" s="198"/>
      <c r="L135" s="191"/>
    </row>
    <row r="136" customFormat="false" ht="15" hidden="false" customHeight="true" outlineLevel="0" collapsed="false">
      <c r="B136" s="187"/>
      <c r="C136" s="188"/>
      <c r="D136" s="189"/>
      <c r="E136" s="189"/>
      <c r="F136" s="187"/>
      <c r="G136" s="190"/>
      <c r="H136" s="187"/>
      <c r="I136" s="191"/>
      <c r="J136" s="191"/>
      <c r="K136" s="198"/>
      <c r="L136" s="191"/>
    </row>
    <row r="137" customFormat="false" ht="15" hidden="false" customHeight="true" outlineLevel="0" collapsed="false">
      <c r="B137" s="187"/>
      <c r="C137" s="188"/>
      <c r="D137" s="189"/>
      <c r="E137" s="189"/>
      <c r="F137" s="187"/>
      <c r="G137" s="190"/>
      <c r="H137" s="187"/>
      <c r="I137" s="191"/>
      <c r="J137" s="191"/>
      <c r="K137" s="198"/>
      <c r="L137" s="191"/>
    </row>
    <row r="138" customFormat="false" ht="15" hidden="false" customHeight="true" outlineLevel="0" collapsed="false">
      <c r="B138" s="187"/>
      <c r="C138" s="188"/>
      <c r="D138" s="189"/>
      <c r="E138" s="189"/>
      <c r="F138" s="187"/>
      <c r="G138" s="190"/>
      <c r="H138" s="187"/>
      <c r="I138" s="191"/>
      <c r="J138" s="191"/>
      <c r="K138" s="198"/>
      <c r="L138" s="191"/>
    </row>
    <row r="139" customFormat="false" ht="15" hidden="false" customHeight="true" outlineLevel="0" collapsed="false">
      <c r="B139" s="272"/>
      <c r="C139" s="210"/>
      <c r="D139" s="211"/>
      <c r="E139" s="211"/>
      <c r="F139" s="212"/>
      <c r="G139" s="213"/>
      <c r="H139" s="212"/>
      <c r="I139" s="214"/>
      <c r="J139" s="215"/>
      <c r="K139" s="216"/>
      <c r="L139" s="217"/>
    </row>
    <row r="140" customFormat="false" ht="15" hidden="false" customHeight="true" outlineLevel="0" collapsed="false">
      <c r="B140" s="187"/>
      <c r="C140" s="188"/>
      <c r="D140" s="189"/>
      <c r="E140" s="189"/>
      <c r="F140" s="187"/>
      <c r="G140" s="190"/>
      <c r="H140" s="187"/>
      <c r="I140" s="191"/>
      <c r="J140" s="192"/>
      <c r="K140" s="198"/>
      <c r="L140" s="191"/>
    </row>
    <row r="141" customFormat="false" ht="15" hidden="false" customHeight="true" outlineLevel="0" collapsed="false">
      <c r="B141" s="187"/>
      <c r="C141" s="188"/>
      <c r="D141" s="189"/>
      <c r="E141" s="189"/>
      <c r="F141" s="187"/>
      <c r="G141" s="190"/>
      <c r="H141" s="187"/>
      <c r="I141" s="191"/>
      <c r="J141" s="192"/>
      <c r="K141" s="198"/>
      <c r="L141" s="191"/>
    </row>
    <row r="142" customFormat="false" ht="15" hidden="false" customHeight="true" outlineLevel="0" collapsed="false">
      <c r="B142" s="187"/>
      <c r="C142" s="188"/>
      <c r="D142" s="189"/>
      <c r="E142" s="189"/>
      <c r="F142" s="187"/>
      <c r="G142" s="190"/>
      <c r="H142" s="187"/>
      <c r="I142" s="191"/>
      <c r="J142" s="192"/>
      <c r="K142" s="198"/>
      <c r="L142" s="191"/>
    </row>
    <row r="143" customFormat="false" ht="15" hidden="false" customHeight="true" outlineLevel="0" collapsed="false">
      <c r="B143" s="187"/>
      <c r="C143" s="188"/>
      <c r="D143" s="189"/>
      <c r="E143" s="189"/>
      <c r="F143" s="187"/>
      <c r="G143" s="190"/>
      <c r="H143" s="187"/>
      <c r="I143" s="191"/>
      <c r="J143" s="192"/>
      <c r="K143" s="198"/>
      <c r="L143" s="191"/>
    </row>
    <row r="144" customFormat="false" ht="15" hidden="false" customHeight="true" outlineLevel="0" collapsed="false">
      <c r="B144" s="187"/>
      <c r="C144" s="188"/>
      <c r="D144" s="189"/>
      <c r="E144" s="189"/>
      <c r="F144" s="187"/>
      <c r="G144" s="190"/>
      <c r="H144" s="187"/>
      <c r="I144" s="191"/>
      <c r="J144" s="192"/>
      <c r="K144" s="198"/>
      <c r="L144" s="191"/>
    </row>
    <row r="145" customFormat="false" ht="15" hidden="false" customHeight="true" outlineLevel="0" collapsed="false">
      <c r="B145" s="187"/>
      <c r="C145" s="188"/>
      <c r="D145" s="189"/>
      <c r="E145" s="189"/>
      <c r="F145" s="187"/>
      <c r="G145" s="190"/>
      <c r="H145" s="187"/>
      <c r="I145" s="191"/>
      <c r="J145" s="192"/>
      <c r="K145" s="198"/>
      <c r="L145" s="191"/>
    </row>
    <row r="146" customFormat="false" ht="15" hidden="false" customHeight="true" outlineLevel="0" collapsed="false">
      <c r="B146" s="187"/>
      <c r="C146" s="188"/>
      <c r="D146" s="189"/>
      <c r="E146" s="189"/>
      <c r="F146" s="187"/>
      <c r="G146" s="190"/>
      <c r="H146" s="187"/>
      <c r="I146" s="191"/>
      <c r="J146" s="192"/>
      <c r="K146" s="198"/>
      <c r="L146" s="191"/>
    </row>
    <row r="147" customFormat="false" ht="15" hidden="false" customHeight="true" outlineLevel="0" collapsed="false">
      <c r="B147" s="187"/>
      <c r="C147" s="188"/>
      <c r="D147" s="189"/>
      <c r="E147" s="189"/>
      <c r="F147" s="187"/>
      <c r="G147" s="190"/>
      <c r="H147" s="187"/>
      <c r="I147" s="191"/>
      <c r="J147" s="192"/>
      <c r="K147" s="198"/>
      <c r="L147" s="191"/>
    </row>
    <row r="148" customFormat="false" ht="15" hidden="false" customHeight="true" outlineLevel="0" collapsed="false">
      <c r="B148" s="187"/>
      <c r="C148" s="188"/>
      <c r="D148" s="189"/>
      <c r="E148" s="189"/>
      <c r="F148" s="187"/>
      <c r="G148" s="190"/>
      <c r="H148" s="187"/>
      <c r="I148" s="191"/>
      <c r="J148" s="192"/>
      <c r="K148" s="198"/>
      <c r="L148" s="191"/>
    </row>
    <row r="149" customFormat="false" ht="15" hidden="false" customHeight="true" outlineLevel="0" collapsed="false">
      <c r="B149" s="187"/>
      <c r="C149" s="188"/>
      <c r="D149" s="189"/>
      <c r="E149" s="189"/>
      <c r="F149" s="187"/>
      <c r="G149" s="190"/>
      <c r="H149" s="187"/>
      <c r="I149" s="191"/>
      <c r="J149" s="192"/>
      <c r="K149" s="198"/>
      <c r="L149" s="191"/>
    </row>
    <row r="150" customFormat="false" ht="15" hidden="false" customHeight="true" outlineLevel="0" collapsed="false">
      <c r="B150" s="187"/>
      <c r="C150" s="188"/>
      <c r="D150" s="189"/>
      <c r="E150" s="189"/>
      <c r="F150" s="187"/>
      <c r="G150" s="190"/>
      <c r="H150" s="187"/>
      <c r="I150" s="191"/>
      <c r="J150" s="192"/>
      <c r="K150" s="193"/>
      <c r="L150" s="191"/>
    </row>
    <row r="151" customFormat="false" ht="15" hidden="false" customHeight="true" outlineLevel="0" collapsed="false">
      <c r="B151" s="187"/>
      <c r="C151" s="188"/>
      <c r="D151" s="189"/>
      <c r="E151" s="189"/>
      <c r="F151" s="187"/>
      <c r="G151" s="190"/>
      <c r="H151" s="187"/>
      <c r="I151" s="191"/>
      <c r="J151" s="192"/>
      <c r="K151" s="198"/>
      <c r="L151" s="191"/>
    </row>
    <row r="152" customFormat="false" ht="15" hidden="false" customHeight="true" outlineLevel="0" collapsed="false">
      <c r="B152" s="187"/>
      <c r="C152" s="188"/>
      <c r="D152" s="226"/>
      <c r="E152" s="226"/>
      <c r="F152" s="227"/>
      <c r="G152" s="228"/>
      <c r="H152" s="187"/>
      <c r="I152" s="191"/>
      <c r="J152" s="192"/>
      <c r="K152" s="198"/>
      <c r="L152" s="191"/>
    </row>
    <row r="153" customFormat="false" ht="15" hidden="false" customHeight="true" outlineLevel="0" collapsed="false">
      <c r="B153" s="187"/>
      <c r="C153" s="188"/>
      <c r="D153" s="189"/>
      <c r="E153" s="189"/>
      <c r="F153" s="187"/>
      <c r="G153" s="190"/>
      <c r="H153" s="187"/>
      <c r="I153" s="191"/>
      <c r="J153" s="192"/>
      <c r="K153" s="198"/>
      <c r="L153" s="191"/>
    </row>
    <row r="154" customFormat="false" ht="15" hidden="false" customHeight="true" outlineLevel="0" collapsed="false">
      <c r="B154" s="187"/>
      <c r="C154" s="188"/>
      <c r="D154" s="189"/>
      <c r="E154" s="189"/>
      <c r="F154" s="187"/>
      <c r="G154" s="190"/>
      <c r="H154" s="187"/>
      <c r="I154" s="191"/>
      <c r="J154" s="191"/>
      <c r="K154" s="198"/>
      <c r="L154" s="191"/>
    </row>
    <row r="155" customFormat="false" ht="15" hidden="false" customHeight="true" outlineLevel="0" collapsed="false">
      <c r="B155" s="187"/>
      <c r="C155" s="188"/>
      <c r="D155" s="189"/>
      <c r="E155" s="189"/>
      <c r="F155" s="187"/>
      <c r="G155" s="190"/>
      <c r="H155" s="187"/>
      <c r="I155" s="191"/>
      <c r="J155" s="192"/>
      <c r="K155" s="198"/>
      <c r="L155" s="191"/>
    </row>
    <row r="156" customFormat="false" ht="15" hidden="false" customHeight="true" outlineLevel="0" collapsed="false">
      <c r="B156" s="187"/>
      <c r="C156" s="188"/>
      <c r="D156" s="189"/>
      <c r="E156" s="189"/>
      <c r="F156" s="187"/>
      <c r="G156" s="190"/>
      <c r="H156" s="187"/>
      <c r="I156" s="191"/>
      <c r="J156" s="192"/>
      <c r="K156" s="198"/>
      <c r="L156" s="191"/>
    </row>
    <row r="157" customFormat="false" ht="15" hidden="false" customHeight="true" outlineLevel="0" collapsed="false">
      <c r="B157" s="187"/>
      <c r="C157" s="188"/>
      <c r="D157" s="189"/>
      <c r="E157" s="189"/>
      <c r="F157" s="187"/>
      <c r="G157" s="190"/>
      <c r="H157" s="187"/>
      <c r="I157" s="191"/>
      <c r="J157" s="192"/>
      <c r="K157" s="198"/>
      <c r="L157" s="191"/>
    </row>
    <row r="158" customFormat="false" ht="15" hidden="false" customHeight="true" outlineLevel="0" collapsed="false">
      <c r="B158" s="187"/>
      <c r="C158" s="188"/>
      <c r="D158" s="189"/>
      <c r="E158" s="189"/>
      <c r="F158" s="187"/>
      <c r="G158" s="190"/>
      <c r="H158" s="187"/>
      <c r="I158" s="191"/>
      <c r="J158" s="192"/>
      <c r="K158" s="198"/>
      <c r="L158" s="191"/>
    </row>
    <row r="159" customFormat="false" ht="15" hidden="false" customHeight="true" outlineLevel="0" collapsed="false">
      <c r="B159" s="234" t="s">
        <v>439</v>
      </c>
      <c r="C159" s="235"/>
      <c r="D159" s="236"/>
      <c r="E159" s="236"/>
      <c r="F159" s="237"/>
      <c r="G159" s="238" t="n">
        <f aca="false">SUM(G134:G158)</f>
        <v>0</v>
      </c>
      <c r="H159" s="237"/>
      <c r="I159" s="239"/>
      <c r="J159" s="240"/>
      <c r="K159" s="241" t="n">
        <f aca="false">SUM(K134:K158)</f>
        <v>0</v>
      </c>
      <c r="L159" s="242"/>
    </row>
    <row r="160" customFormat="false" ht="15" hidden="false" customHeight="true" outlineLevel="0" collapsed="false">
      <c r="B160" s="187"/>
      <c r="C160" s="188"/>
      <c r="D160" s="189"/>
      <c r="E160" s="189"/>
      <c r="F160" s="187"/>
      <c r="G160" s="190"/>
      <c r="H160" s="187"/>
      <c r="I160" s="191"/>
      <c r="J160" s="276"/>
      <c r="K160" s="277"/>
      <c r="L160" s="194"/>
    </row>
    <row r="161" customFormat="false" ht="15" hidden="false" customHeight="true" outlineLevel="0" collapsed="false">
      <c r="B161" s="187"/>
      <c r="C161" s="188"/>
      <c r="D161" s="189"/>
      <c r="E161" s="189"/>
      <c r="F161" s="187"/>
      <c r="G161" s="190"/>
      <c r="H161" s="187"/>
      <c r="I161" s="191"/>
      <c r="J161" s="276"/>
      <c r="K161" s="278"/>
      <c r="L161" s="191"/>
    </row>
    <row r="162" customFormat="false" ht="15" hidden="false" customHeight="true" outlineLevel="0" collapsed="false">
      <c r="B162" s="187"/>
      <c r="C162" s="188"/>
      <c r="D162" s="189"/>
      <c r="E162" s="189"/>
      <c r="F162" s="187"/>
      <c r="G162" s="190"/>
      <c r="H162" s="187"/>
      <c r="I162" s="191"/>
      <c r="J162" s="276"/>
      <c r="K162" s="278"/>
      <c r="L162" s="191"/>
    </row>
    <row r="163" customFormat="false" ht="15" hidden="false" customHeight="true" outlineLevel="0" collapsed="false">
      <c r="B163" s="187"/>
      <c r="C163" s="188"/>
      <c r="D163" s="189"/>
      <c r="E163" s="189"/>
      <c r="F163" s="187"/>
      <c r="G163" s="190"/>
      <c r="H163" s="187"/>
      <c r="I163" s="191"/>
      <c r="J163" s="276"/>
      <c r="K163" s="278"/>
      <c r="L163" s="191"/>
    </row>
    <row r="164" customFormat="false" ht="15" hidden="false" customHeight="true" outlineLevel="0" collapsed="false">
      <c r="B164" s="187"/>
      <c r="C164" s="188"/>
      <c r="D164" s="189"/>
      <c r="E164" s="189"/>
      <c r="F164" s="187"/>
      <c r="G164" s="190"/>
      <c r="H164" s="187"/>
      <c r="I164" s="191"/>
      <c r="J164" s="276"/>
      <c r="K164" s="278"/>
      <c r="L164" s="191"/>
    </row>
    <row r="165" customFormat="false" ht="15" hidden="false" customHeight="true" outlineLevel="0" collapsed="false">
      <c r="B165" s="272"/>
      <c r="C165" s="188"/>
      <c r="D165" s="211"/>
      <c r="E165" s="211"/>
      <c r="F165" s="212"/>
      <c r="G165" s="213"/>
      <c r="H165" s="212"/>
      <c r="I165" s="214"/>
      <c r="J165" s="279"/>
      <c r="K165" s="280"/>
      <c r="L165" s="217"/>
    </row>
    <row r="166" customFormat="false" ht="15" hidden="false" customHeight="true" outlineLevel="0" collapsed="false">
      <c r="B166" s="187"/>
      <c r="C166" s="188"/>
      <c r="D166" s="189"/>
      <c r="E166" s="189"/>
      <c r="F166" s="187"/>
      <c r="G166" s="190"/>
      <c r="H166" s="187"/>
      <c r="I166" s="191"/>
      <c r="J166" s="276"/>
      <c r="K166" s="278"/>
      <c r="L166" s="191"/>
    </row>
    <row r="167" customFormat="false" ht="15" hidden="false" customHeight="true" outlineLevel="0" collapsed="false">
      <c r="B167" s="187"/>
      <c r="C167" s="188"/>
      <c r="D167" s="189"/>
      <c r="E167" s="189"/>
      <c r="F167" s="187"/>
      <c r="G167" s="190"/>
      <c r="H167" s="187"/>
      <c r="I167" s="191"/>
      <c r="J167" s="276"/>
      <c r="K167" s="278"/>
      <c r="L167" s="191"/>
    </row>
    <row r="168" customFormat="false" ht="15" hidden="false" customHeight="true" outlineLevel="0" collapsed="false">
      <c r="B168" s="187"/>
      <c r="C168" s="188"/>
      <c r="D168" s="189"/>
      <c r="E168" s="189"/>
      <c r="F168" s="187"/>
      <c r="G168" s="190"/>
      <c r="H168" s="187"/>
      <c r="I168" s="191"/>
      <c r="J168" s="276"/>
      <c r="K168" s="278"/>
      <c r="L168" s="191"/>
    </row>
    <row r="169" customFormat="false" ht="15" hidden="false" customHeight="true" outlineLevel="0" collapsed="false">
      <c r="B169" s="187"/>
      <c r="C169" s="188"/>
      <c r="D169" s="189"/>
      <c r="E169" s="189"/>
      <c r="F169" s="187"/>
      <c r="G169" s="190"/>
      <c r="H169" s="187"/>
      <c r="I169" s="191"/>
      <c r="J169" s="276"/>
      <c r="K169" s="278"/>
      <c r="L169" s="191"/>
    </row>
    <row r="170" customFormat="false" ht="15" hidden="false" customHeight="true" outlineLevel="0" collapsed="false">
      <c r="B170" s="187"/>
      <c r="C170" s="188"/>
      <c r="D170" s="189"/>
      <c r="E170" s="189"/>
      <c r="F170" s="187"/>
      <c r="G170" s="190"/>
      <c r="H170" s="187"/>
      <c r="I170" s="191"/>
      <c r="J170" s="276"/>
      <c r="K170" s="278"/>
      <c r="L170" s="191"/>
    </row>
    <row r="171" customFormat="false" ht="15" hidden="false" customHeight="true" outlineLevel="0" collapsed="false">
      <c r="B171" s="187"/>
      <c r="C171" s="188"/>
      <c r="D171" s="189"/>
      <c r="E171" s="189"/>
      <c r="F171" s="187"/>
      <c r="G171" s="190"/>
      <c r="H171" s="187"/>
      <c r="I171" s="191"/>
      <c r="J171" s="276"/>
      <c r="K171" s="278"/>
      <c r="L171" s="191"/>
    </row>
    <row r="172" customFormat="false" ht="15" hidden="false" customHeight="true" outlineLevel="0" collapsed="false">
      <c r="B172" s="187"/>
      <c r="C172" s="188"/>
      <c r="D172" s="189"/>
      <c r="E172" s="189"/>
      <c r="F172" s="187"/>
      <c r="G172" s="190"/>
      <c r="H172" s="187"/>
      <c r="I172" s="191"/>
      <c r="J172" s="276"/>
      <c r="K172" s="278"/>
      <c r="L172" s="191"/>
    </row>
    <row r="173" customFormat="false" ht="15" hidden="false" customHeight="true" outlineLevel="0" collapsed="false">
      <c r="B173" s="187"/>
      <c r="C173" s="188"/>
      <c r="D173" s="189"/>
      <c r="E173" s="189"/>
      <c r="F173" s="187"/>
      <c r="G173" s="190"/>
      <c r="H173" s="187"/>
      <c r="I173" s="191"/>
      <c r="J173" s="276"/>
      <c r="K173" s="278"/>
      <c r="L173" s="191"/>
    </row>
    <row r="174" customFormat="false" ht="15" hidden="false" customHeight="true" outlineLevel="0" collapsed="false">
      <c r="B174" s="187"/>
      <c r="C174" s="188"/>
      <c r="D174" s="189"/>
      <c r="E174" s="189"/>
      <c r="F174" s="187"/>
      <c r="G174" s="190"/>
      <c r="H174" s="187"/>
      <c r="I174" s="191"/>
      <c r="J174" s="276"/>
      <c r="K174" s="278"/>
      <c r="L174" s="191"/>
    </row>
    <row r="175" customFormat="false" ht="15" hidden="false" customHeight="true" outlineLevel="0" collapsed="false">
      <c r="B175" s="187"/>
      <c r="C175" s="188"/>
      <c r="D175" s="189"/>
      <c r="E175" s="189"/>
      <c r="F175" s="187"/>
      <c r="G175" s="190"/>
      <c r="H175" s="187"/>
      <c r="I175" s="191"/>
      <c r="J175" s="276"/>
      <c r="K175" s="278"/>
      <c r="L175" s="191"/>
    </row>
    <row r="176" customFormat="false" ht="15" hidden="false" customHeight="true" outlineLevel="0" collapsed="false">
      <c r="B176" s="187"/>
      <c r="C176" s="188"/>
      <c r="D176" s="189"/>
      <c r="E176" s="189"/>
      <c r="F176" s="187"/>
      <c r="G176" s="190"/>
      <c r="H176" s="187"/>
      <c r="I176" s="191"/>
      <c r="J176" s="276"/>
      <c r="K176" s="277"/>
      <c r="L176" s="191"/>
    </row>
    <row r="177" customFormat="false" ht="15" hidden="false" customHeight="true" outlineLevel="0" collapsed="false">
      <c r="B177" s="187"/>
      <c r="C177" s="188"/>
      <c r="D177" s="189"/>
      <c r="E177" s="189"/>
      <c r="F177" s="187"/>
      <c r="G177" s="190"/>
      <c r="H177" s="187"/>
      <c r="I177" s="191"/>
      <c r="J177" s="276"/>
      <c r="K177" s="278"/>
      <c r="L177" s="191"/>
    </row>
    <row r="178" customFormat="false" ht="15" hidden="false" customHeight="true" outlineLevel="0" collapsed="false">
      <c r="B178" s="187"/>
      <c r="C178" s="188"/>
      <c r="D178" s="226"/>
      <c r="E178" s="226"/>
      <c r="F178" s="227"/>
      <c r="G178" s="228"/>
      <c r="H178" s="187"/>
      <c r="I178" s="191"/>
      <c r="J178" s="276"/>
      <c r="K178" s="278"/>
      <c r="L178" s="191"/>
    </row>
    <row r="179" customFormat="false" ht="15" hidden="false" customHeight="true" outlineLevel="0" collapsed="false">
      <c r="B179" s="187"/>
      <c r="C179" s="188"/>
      <c r="D179" s="189"/>
      <c r="E179" s="189"/>
      <c r="F179" s="187"/>
      <c r="G179" s="190"/>
      <c r="H179" s="187"/>
      <c r="I179" s="191"/>
      <c r="J179" s="276"/>
      <c r="K179" s="278"/>
      <c r="L179" s="191"/>
    </row>
    <row r="180" customFormat="false" ht="15" hidden="false" customHeight="true" outlineLevel="0" collapsed="false">
      <c r="B180" s="187"/>
      <c r="C180" s="188"/>
      <c r="D180" s="189"/>
      <c r="E180" s="189"/>
      <c r="F180" s="187"/>
      <c r="G180" s="190"/>
      <c r="H180" s="187"/>
      <c r="I180" s="191"/>
      <c r="J180" s="276"/>
      <c r="K180" s="278"/>
      <c r="L180" s="191"/>
    </row>
    <row r="181" customFormat="false" ht="15" hidden="false" customHeight="true" outlineLevel="0" collapsed="false">
      <c r="B181" s="187"/>
      <c r="C181" s="188"/>
      <c r="D181" s="189"/>
      <c r="E181" s="189"/>
      <c r="F181" s="187"/>
      <c r="G181" s="190"/>
      <c r="H181" s="187"/>
      <c r="I181" s="191"/>
      <c r="J181" s="276"/>
      <c r="K181" s="278"/>
      <c r="L181" s="191"/>
    </row>
    <row r="182" customFormat="false" ht="15" hidden="false" customHeight="true" outlineLevel="0" collapsed="false">
      <c r="B182" s="187"/>
      <c r="C182" s="188"/>
      <c r="D182" s="189"/>
      <c r="E182" s="189"/>
      <c r="F182" s="187"/>
      <c r="G182" s="190"/>
      <c r="H182" s="187"/>
      <c r="I182" s="191"/>
      <c r="J182" s="276"/>
      <c r="K182" s="278"/>
      <c r="L182" s="191"/>
    </row>
    <row r="183" customFormat="false" ht="15" hidden="false" customHeight="true" outlineLevel="0" collapsed="false">
      <c r="B183" s="187"/>
      <c r="C183" s="188"/>
      <c r="D183" s="189"/>
      <c r="E183" s="189"/>
      <c r="F183" s="187"/>
      <c r="G183" s="190"/>
      <c r="H183" s="187"/>
      <c r="I183" s="191"/>
      <c r="J183" s="276"/>
      <c r="K183" s="278"/>
      <c r="L183" s="191"/>
    </row>
    <row r="184" customFormat="false" ht="15" hidden="false" customHeight="true" outlineLevel="0" collapsed="false">
      <c r="B184" s="187"/>
      <c r="C184" s="188"/>
      <c r="D184" s="189"/>
      <c r="E184" s="189"/>
      <c r="F184" s="187"/>
      <c r="G184" s="190"/>
      <c r="H184" s="187"/>
      <c r="I184" s="191"/>
      <c r="J184" s="276"/>
      <c r="K184" s="278"/>
      <c r="L184" s="191"/>
    </row>
    <row r="185" customFormat="false" ht="15" hidden="false" customHeight="true" outlineLevel="0" collapsed="false">
      <c r="B185" s="281" t="s">
        <v>440</v>
      </c>
      <c r="C185" s="282"/>
      <c r="D185" s="253"/>
      <c r="E185" s="253"/>
      <c r="F185" s="283"/>
      <c r="G185" s="284" t="n">
        <f aca="false">SUM(G160:G184)</f>
        <v>0</v>
      </c>
      <c r="H185" s="283"/>
      <c r="I185" s="285"/>
      <c r="J185" s="286"/>
      <c r="K185" s="287"/>
      <c r="L185" s="287"/>
    </row>
    <row r="186" customFormat="false" ht="15" hidden="false" customHeight="true" outlineLevel="0" collapsed="false">
      <c r="B186" s="187"/>
      <c r="C186" s="188"/>
      <c r="D186" s="189"/>
      <c r="E186" s="189"/>
      <c r="F186" s="187"/>
      <c r="G186" s="190"/>
      <c r="H186" s="187"/>
      <c r="I186" s="191"/>
      <c r="J186" s="276"/>
      <c r="K186" s="277"/>
      <c r="L186" s="194"/>
    </row>
    <row r="187" customFormat="false" ht="15" hidden="false" customHeight="true" outlineLevel="0" collapsed="false">
      <c r="B187" s="187"/>
      <c r="C187" s="188"/>
      <c r="D187" s="189"/>
      <c r="E187" s="189"/>
      <c r="F187" s="187"/>
      <c r="G187" s="190"/>
      <c r="H187" s="187"/>
      <c r="I187" s="191"/>
      <c r="J187" s="276"/>
      <c r="K187" s="278"/>
      <c r="L187" s="191"/>
    </row>
    <row r="188" customFormat="false" ht="15" hidden="false" customHeight="true" outlineLevel="0" collapsed="false">
      <c r="B188" s="187"/>
      <c r="C188" s="188"/>
      <c r="D188" s="189"/>
      <c r="E188" s="189"/>
      <c r="F188" s="187"/>
      <c r="G188" s="190"/>
      <c r="H188" s="187"/>
      <c r="I188" s="191"/>
      <c r="J188" s="276"/>
      <c r="K188" s="278"/>
      <c r="L188" s="191"/>
    </row>
    <row r="189" customFormat="false" ht="15" hidden="false" customHeight="true" outlineLevel="0" collapsed="false">
      <c r="B189" s="187"/>
      <c r="C189" s="188"/>
      <c r="D189" s="189"/>
      <c r="E189" s="189"/>
      <c r="F189" s="187"/>
      <c r="G189" s="190"/>
      <c r="H189" s="187"/>
      <c r="I189" s="191"/>
      <c r="J189" s="276"/>
      <c r="K189" s="278"/>
      <c r="L189" s="191"/>
    </row>
    <row r="190" customFormat="false" ht="15" hidden="false" customHeight="true" outlineLevel="0" collapsed="false">
      <c r="B190" s="187"/>
      <c r="C190" s="188"/>
      <c r="D190" s="189"/>
      <c r="E190" s="189"/>
      <c r="F190" s="187"/>
      <c r="G190" s="190"/>
      <c r="H190" s="187"/>
      <c r="I190" s="191"/>
      <c r="J190" s="276"/>
      <c r="K190" s="278"/>
      <c r="L190" s="191"/>
    </row>
    <row r="191" customFormat="false" ht="15" hidden="false" customHeight="true" outlineLevel="0" collapsed="false">
      <c r="B191" s="272"/>
      <c r="C191" s="188"/>
      <c r="D191" s="211"/>
      <c r="E191" s="211"/>
      <c r="F191" s="212"/>
      <c r="G191" s="213"/>
      <c r="H191" s="212"/>
      <c r="I191" s="214"/>
      <c r="J191" s="279"/>
      <c r="K191" s="280"/>
      <c r="L191" s="217"/>
    </row>
    <row r="192" customFormat="false" ht="15" hidden="false" customHeight="true" outlineLevel="0" collapsed="false">
      <c r="B192" s="187"/>
      <c r="C192" s="188"/>
      <c r="D192" s="189"/>
      <c r="E192" s="189"/>
      <c r="F192" s="187"/>
      <c r="G192" s="190"/>
      <c r="H192" s="187"/>
      <c r="I192" s="191"/>
      <c r="J192" s="276"/>
      <c r="K192" s="278"/>
      <c r="L192" s="191"/>
    </row>
    <row r="193" customFormat="false" ht="15" hidden="false" customHeight="true" outlineLevel="0" collapsed="false">
      <c r="B193" s="187"/>
      <c r="C193" s="188"/>
      <c r="D193" s="189"/>
      <c r="E193" s="189"/>
      <c r="F193" s="187"/>
      <c r="G193" s="190"/>
      <c r="H193" s="187"/>
      <c r="I193" s="191"/>
      <c r="J193" s="276"/>
      <c r="K193" s="278"/>
      <c r="L193" s="191"/>
    </row>
    <row r="194" customFormat="false" ht="15" hidden="false" customHeight="true" outlineLevel="0" collapsed="false">
      <c r="B194" s="187"/>
      <c r="C194" s="188"/>
      <c r="D194" s="189"/>
      <c r="E194" s="189"/>
      <c r="F194" s="187"/>
      <c r="G194" s="190"/>
      <c r="H194" s="187"/>
      <c r="I194" s="191"/>
      <c r="J194" s="276"/>
      <c r="K194" s="278"/>
      <c r="L194" s="191"/>
    </row>
    <row r="195" customFormat="false" ht="15" hidden="false" customHeight="true" outlineLevel="0" collapsed="false">
      <c r="B195" s="187"/>
      <c r="C195" s="188"/>
      <c r="D195" s="189"/>
      <c r="E195" s="189"/>
      <c r="F195" s="187"/>
      <c r="G195" s="190"/>
      <c r="H195" s="187"/>
      <c r="I195" s="191"/>
      <c r="J195" s="276"/>
      <c r="K195" s="278"/>
      <c r="L195" s="191"/>
    </row>
    <row r="196" customFormat="false" ht="15" hidden="false" customHeight="true" outlineLevel="0" collapsed="false">
      <c r="B196" s="187"/>
      <c r="C196" s="188"/>
      <c r="D196" s="189"/>
      <c r="E196" s="189"/>
      <c r="F196" s="187"/>
      <c r="G196" s="190"/>
      <c r="H196" s="187"/>
      <c r="I196" s="191"/>
      <c r="J196" s="276"/>
      <c r="K196" s="278"/>
      <c r="L196" s="191"/>
    </row>
    <row r="197" customFormat="false" ht="15" hidden="false" customHeight="true" outlineLevel="0" collapsed="false">
      <c r="B197" s="187"/>
      <c r="C197" s="188"/>
      <c r="D197" s="189"/>
      <c r="E197" s="189"/>
      <c r="F197" s="187"/>
      <c r="G197" s="190"/>
      <c r="H197" s="187"/>
      <c r="I197" s="191"/>
      <c r="J197" s="276"/>
      <c r="K197" s="278"/>
      <c r="L197" s="191"/>
    </row>
    <row r="198" customFormat="false" ht="15" hidden="false" customHeight="true" outlineLevel="0" collapsed="false">
      <c r="B198" s="187"/>
      <c r="C198" s="188"/>
      <c r="D198" s="189"/>
      <c r="E198" s="189"/>
      <c r="F198" s="187"/>
      <c r="G198" s="190"/>
      <c r="H198" s="187"/>
      <c r="I198" s="191"/>
      <c r="J198" s="276"/>
      <c r="K198" s="278"/>
      <c r="L198" s="191"/>
    </row>
    <row r="199" customFormat="false" ht="15" hidden="false" customHeight="true" outlineLevel="0" collapsed="false">
      <c r="B199" s="187"/>
      <c r="C199" s="188"/>
      <c r="D199" s="189"/>
      <c r="E199" s="189"/>
      <c r="F199" s="187"/>
      <c r="G199" s="190"/>
      <c r="H199" s="187"/>
      <c r="I199" s="191"/>
      <c r="J199" s="276"/>
      <c r="K199" s="278"/>
      <c r="L199" s="191"/>
    </row>
    <row r="200" customFormat="false" ht="15" hidden="false" customHeight="true" outlineLevel="0" collapsed="false">
      <c r="B200" s="187"/>
      <c r="C200" s="188"/>
      <c r="D200" s="189"/>
      <c r="E200" s="189"/>
      <c r="F200" s="187"/>
      <c r="G200" s="190"/>
      <c r="H200" s="187"/>
      <c r="I200" s="191"/>
      <c r="J200" s="276"/>
      <c r="K200" s="278"/>
      <c r="L200" s="191"/>
    </row>
    <row r="201" customFormat="false" ht="15" hidden="false" customHeight="true" outlineLevel="0" collapsed="false">
      <c r="B201" s="187"/>
      <c r="C201" s="188"/>
      <c r="D201" s="189"/>
      <c r="E201" s="189"/>
      <c r="F201" s="187"/>
      <c r="G201" s="190"/>
      <c r="H201" s="187"/>
      <c r="I201" s="191"/>
      <c r="J201" s="276"/>
      <c r="K201" s="278"/>
      <c r="L201" s="191"/>
    </row>
    <row r="202" customFormat="false" ht="15" hidden="false" customHeight="true" outlineLevel="0" collapsed="false">
      <c r="B202" s="187"/>
      <c r="C202" s="188"/>
      <c r="D202" s="189"/>
      <c r="E202" s="189"/>
      <c r="F202" s="187"/>
      <c r="G202" s="190"/>
      <c r="H202" s="187"/>
      <c r="I202" s="191"/>
      <c r="J202" s="276"/>
      <c r="K202" s="277"/>
      <c r="L202" s="191"/>
    </row>
    <row r="203" customFormat="false" ht="15" hidden="false" customHeight="true" outlineLevel="0" collapsed="false">
      <c r="B203" s="187"/>
      <c r="C203" s="188"/>
      <c r="D203" s="189"/>
      <c r="E203" s="189"/>
      <c r="F203" s="187"/>
      <c r="G203" s="190"/>
      <c r="H203" s="187"/>
      <c r="I203" s="191"/>
      <c r="J203" s="276"/>
      <c r="K203" s="278"/>
      <c r="L203" s="191"/>
    </row>
    <row r="204" customFormat="false" ht="15" hidden="false" customHeight="true" outlineLevel="0" collapsed="false">
      <c r="B204" s="187"/>
      <c r="C204" s="188"/>
      <c r="D204" s="226"/>
      <c r="E204" s="226"/>
      <c r="F204" s="227"/>
      <c r="G204" s="228"/>
      <c r="H204" s="187"/>
      <c r="I204" s="191"/>
      <c r="J204" s="276"/>
      <c r="K204" s="278"/>
      <c r="L204" s="191"/>
    </row>
    <row r="205" customFormat="false" ht="15" hidden="false" customHeight="true" outlineLevel="0" collapsed="false">
      <c r="B205" s="187"/>
      <c r="C205" s="188"/>
      <c r="D205" s="189"/>
      <c r="E205" s="189"/>
      <c r="F205" s="187"/>
      <c r="G205" s="190"/>
      <c r="H205" s="187"/>
      <c r="I205" s="191"/>
      <c r="J205" s="276"/>
      <c r="K205" s="278"/>
      <c r="L205" s="191"/>
    </row>
    <row r="206" customFormat="false" ht="15" hidden="false" customHeight="true" outlineLevel="0" collapsed="false">
      <c r="B206" s="187"/>
      <c r="C206" s="188"/>
      <c r="D206" s="189"/>
      <c r="E206" s="189"/>
      <c r="F206" s="187"/>
      <c r="G206" s="190"/>
      <c r="H206" s="187"/>
      <c r="I206" s="191"/>
      <c r="J206" s="276"/>
      <c r="K206" s="278"/>
      <c r="L206" s="191"/>
    </row>
    <row r="207" customFormat="false" ht="15" hidden="false" customHeight="true" outlineLevel="0" collapsed="false">
      <c r="B207" s="187"/>
      <c r="C207" s="188"/>
      <c r="D207" s="189"/>
      <c r="E207" s="189"/>
      <c r="F207" s="187"/>
      <c r="G207" s="190"/>
      <c r="H207" s="187"/>
      <c r="I207" s="191"/>
      <c r="J207" s="276"/>
      <c r="K207" s="278"/>
      <c r="L207" s="191"/>
    </row>
    <row r="208" customFormat="false" ht="15" hidden="false" customHeight="true" outlineLevel="0" collapsed="false">
      <c r="B208" s="187"/>
      <c r="C208" s="188"/>
      <c r="D208" s="189"/>
      <c r="E208" s="189"/>
      <c r="F208" s="187"/>
      <c r="G208" s="190"/>
      <c r="H208" s="187"/>
      <c r="I208" s="191"/>
      <c r="J208" s="276"/>
      <c r="K208" s="278"/>
      <c r="L208" s="191"/>
    </row>
    <row r="209" customFormat="false" ht="15" hidden="false" customHeight="true" outlineLevel="0" collapsed="false">
      <c r="B209" s="187"/>
      <c r="C209" s="188"/>
      <c r="D209" s="189"/>
      <c r="E209" s="189"/>
      <c r="F209" s="187"/>
      <c r="G209" s="190"/>
      <c r="H209" s="187"/>
      <c r="I209" s="191"/>
      <c r="J209" s="276"/>
      <c r="K209" s="278"/>
      <c r="L209" s="191"/>
    </row>
    <row r="210" customFormat="false" ht="15" hidden="false" customHeight="true" outlineLevel="0" collapsed="false">
      <c r="B210" s="187"/>
      <c r="C210" s="188"/>
      <c r="D210" s="189"/>
      <c r="E210" s="189"/>
      <c r="F210" s="187"/>
      <c r="G210" s="190"/>
      <c r="H210" s="187"/>
      <c r="I210" s="191"/>
      <c r="J210" s="276"/>
      <c r="K210" s="278"/>
      <c r="L210" s="191"/>
    </row>
    <row r="211" customFormat="false" ht="15" hidden="false" customHeight="true" outlineLevel="0" collapsed="false">
      <c r="B211" s="281" t="s">
        <v>441</v>
      </c>
      <c r="C211" s="282"/>
      <c r="D211" s="253"/>
      <c r="E211" s="253"/>
      <c r="F211" s="283"/>
      <c r="G211" s="284" t="n">
        <f aca="false">SUM(G186:G210)</f>
        <v>0</v>
      </c>
      <c r="H211" s="283"/>
      <c r="I211" s="285"/>
      <c r="J211" s="286"/>
      <c r="K211" s="287"/>
      <c r="L211" s="287"/>
    </row>
    <row r="212" customFormat="false" ht="15" hidden="false" customHeight="true" outlineLevel="0" collapsed="false">
      <c r="B212" s="187"/>
      <c r="C212" s="188"/>
      <c r="D212" s="189"/>
      <c r="E212" s="189"/>
      <c r="F212" s="187"/>
      <c r="G212" s="190"/>
      <c r="H212" s="187"/>
      <c r="I212" s="191"/>
      <c r="J212" s="276"/>
      <c r="K212" s="277"/>
      <c r="L212" s="194"/>
    </row>
    <row r="213" customFormat="false" ht="15" hidden="false" customHeight="true" outlineLevel="0" collapsed="false">
      <c r="B213" s="187"/>
      <c r="C213" s="188"/>
      <c r="D213" s="189"/>
      <c r="E213" s="189"/>
      <c r="F213" s="187"/>
      <c r="G213" s="190"/>
      <c r="H213" s="187"/>
      <c r="I213" s="191"/>
      <c r="J213" s="276"/>
      <c r="K213" s="278"/>
      <c r="L213" s="191"/>
    </row>
    <row r="214" customFormat="false" ht="15" hidden="false" customHeight="true" outlineLevel="0" collapsed="false">
      <c r="B214" s="187"/>
      <c r="C214" s="188"/>
      <c r="D214" s="189"/>
      <c r="E214" s="189"/>
      <c r="F214" s="187"/>
      <c r="G214" s="190"/>
      <c r="H214" s="187"/>
      <c r="I214" s="191"/>
      <c r="J214" s="276"/>
      <c r="K214" s="278"/>
      <c r="L214" s="191"/>
    </row>
    <row r="215" customFormat="false" ht="15" hidden="false" customHeight="true" outlineLevel="0" collapsed="false">
      <c r="B215" s="187"/>
      <c r="C215" s="188"/>
      <c r="D215" s="189"/>
      <c r="E215" s="189"/>
      <c r="F215" s="187"/>
      <c r="G215" s="190"/>
      <c r="H215" s="187"/>
      <c r="I215" s="191"/>
      <c r="J215" s="276"/>
      <c r="K215" s="278"/>
      <c r="L215" s="191"/>
    </row>
    <row r="216" customFormat="false" ht="15" hidden="false" customHeight="true" outlineLevel="0" collapsed="false">
      <c r="B216" s="187"/>
      <c r="C216" s="188"/>
      <c r="D216" s="189"/>
      <c r="E216" s="189"/>
      <c r="F216" s="187"/>
      <c r="G216" s="190"/>
      <c r="H216" s="187"/>
      <c r="I216" s="191"/>
      <c r="J216" s="276"/>
      <c r="K216" s="278"/>
      <c r="L216" s="191"/>
    </row>
    <row r="217" customFormat="false" ht="15" hidden="false" customHeight="true" outlineLevel="0" collapsed="false">
      <c r="B217" s="272"/>
      <c r="C217" s="188"/>
      <c r="D217" s="211"/>
      <c r="E217" s="211"/>
      <c r="F217" s="212"/>
      <c r="G217" s="213"/>
      <c r="H217" s="212"/>
      <c r="I217" s="214"/>
      <c r="J217" s="279"/>
      <c r="K217" s="280"/>
      <c r="L217" s="217"/>
    </row>
    <row r="218" customFormat="false" ht="15" hidden="false" customHeight="true" outlineLevel="0" collapsed="false">
      <c r="B218" s="187"/>
      <c r="C218" s="188"/>
      <c r="D218" s="189"/>
      <c r="E218" s="189"/>
      <c r="F218" s="187"/>
      <c r="G218" s="190"/>
      <c r="H218" s="187"/>
      <c r="I218" s="191"/>
      <c r="J218" s="276"/>
      <c r="K218" s="278"/>
      <c r="L218" s="191"/>
    </row>
    <row r="219" customFormat="false" ht="15" hidden="false" customHeight="true" outlineLevel="0" collapsed="false">
      <c r="B219" s="187"/>
      <c r="C219" s="188"/>
      <c r="D219" s="189"/>
      <c r="E219" s="189"/>
      <c r="F219" s="187"/>
      <c r="G219" s="190"/>
      <c r="H219" s="187"/>
      <c r="I219" s="191"/>
      <c r="J219" s="276"/>
      <c r="K219" s="278"/>
      <c r="L219" s="191"/>
    </row>
    <row r="220" customFormat="false" ht="15" hidden="false" customHeight="true" outlineLevel="0" collapsed="false">
      <c r="B220" s="187"/>
      <c r="C220" s="188"/>
      <c r="D220" s="189"/>
      <c r="E220" s="189"/>
      <c r="F220" s="187"/>
      <c r="G220" s="190"/>
      <c r="H220" s="187"/>
      <c r="I220" s="191"/>
      <c r="J220" s="276"/>
      <c r="K220" s="278"/>
      <c r="L220" s="191"/>
    </row>
    <row r="221" customFormat="false" ht="15" hidden="false" customHeight="true" outlineLevel="0" collapsed="false">
      <c r="B221" s="187"/>
      <c r="C221" s="188"/>
      <c r="D221" s="189"/>
      <c r="E221" s="189"/>
      <c r="F221" s="187"/>
      <c r="G221" s="190"/>
      <c r="H221" s="187"/>
      <c r="I221" s="191"/>
      <c r="J221" s="276"/>
      <c r="K221" s="278"/>
      <c r="L221" s="191"/>
    </row>
    <row r="222" customFormat="false" ht="15" hidden="false" customHeight="true" outlineLevel="0" collapsed="false">
      <c r="B222" s="187"/>
      <c r="C222" s="188"/>
      <c r="D222" s="189"/>
      <c r="E222" s="189"/>
      <c r="F222" s="187"/>
      <c r="G222" s="190"/>
      <c r="H222" s="187"/>
      <c r="I222" s="191"/>
      <c r="J222" s="276"/>
      <c r="K222" s="278"/>
      <c r="L222" s="191"/>
    </row>
    <row r="223" customFormat="false" ht="15" hidden="false" customHeight="true" outlineLevel="0" collapsed="false">
      <c r="B223" s="187"/>
      <c r="C223" s="188"/>
      <c r="D223" s="189"/>
      <c r="E223" s="189"/>
      <c r="F223" s="187"/>
      <c r="G223" s="190"/>
      <c r="H223" s="187"/>
      <c r="I223" s="191"/>
      <c r="J223" s="276"/>
      <c r="K223" s="278"/>
      <c r="L223" s="191"/>
    </row>
    <row r="224" customFormat="false" ht="15" hidden="false" customHeight="true" outlineLevel="0" collapsed="false">
      <c r="B224" s="187"/>
      <c r="C224" s="188"/>
      <c r="D224" s="189"/>
      <c r="E224" s="189"/>
      <c r="F224" s="187"/>
      <c r="G224" s="190"/>
      <c r="H224" s="187"/>
      <c r="I224" s="191"/>
      <c r="J224" s="276"/>
      <c r="K224" s="278"/>
      <c r="L224" s="191"/>
    </row>
    <row r="225" customFormat="false" ht="15" hidden="false" customHeight="true" outlineLevel="0" collapsed="false">
      <c r="B225" s="187"/>
      <c r="C225" s="188"/>
      <c r="D225" s="189"/>
      <c r="E225" s="189"/>
      <c r="F225" s="187"/>
      <c r="G225" s="190"/>
      <c r="H225" s="187"/>
      <c r="I225" s="191"/>
      <c r="J225" s="276"/>
      <c r="K225" s="278"/>
      <c r="L225" s="191"/>
    </row>
    <row r="226" customFormat="false" ht="15" hidden="false" customHeight="true" outlineLevel="0" collapsed="false">
      <c r="B226" s="187"/>
      <c r="C226" s="188"/>
      <c r="D226" s="189"/>
      <c r="E226" s="189"/>
      <c r="F226" s="187"/>
      <c r="G226" s="190"/>
      <c r="H226" s="187"/>
      <c r="I226" s="191"/>
      <c r="J226" s="276"/>
      <c r="K226" s="278"/>
      <c r="L226" s="191"/>
    </row>
    <row r="227" customFormat="false" ht="15" hidden="false" customHeight="true" outlineLevel="0" collapsed="false">
      <c r="B227" s="187"/>
      <c r="C227" s="188"/>
      <c r="D227" s="189"/>
      <c r="E227" s="189"/>
      <c r="F227" s="187"/>
      <c r="G227" s="190"/>
      <c r="H227" s="187"/>
      <c r="I227" s="191"/>
      <c r="J227" s="276"/>
      <c r="K227" s="278"/>
      <c r="L227" s="191"/>
    </row>
    <row r="228" customFormat="false" ht="15" hidden="false" customHeight="true" outlineLevel="0" collapsed="false">
      <c r="B228" s="187"/>
      <c r="C228" s="188"/>
      <c r="D228" s="189"/>
      <c r="E228" s="189"/>
      <c r="F228" s="187"/>
      <c r="G228" s="190"/>
      <c r="H228" s="187"/>
      <c r="I228" s="191"/>
      <c r="J228" s="276"/>
      <c r="K228" s="277"/>
      <c r="L228" s="191"/>
    </row>
    <row r="229" customFormat="false" ht="15" hidden="false" customHeight="true" outlineLevel="0" collapsed="false">
      <c r="B229" s="187"/>
      <c r="C229" s="188"/>
      <c r="D229" s="189"/>
      <c r="E229" s="189"/>
      <c r="F229" s="187"/>
      <c r="G229" s="190"/>
      <c r="H229" s="187"/>
      <c r="I229" s="191"/>
      <c r="J229" s="276"/>
      <c r="K229" s="278"/>
      <c r="L229" s="191"/>
    </row>
    <row r="230" customFormat="false" ht="15" hidden="false" customHeight="true" outlineLevel="0" collapsed="false">
      <c r="B230" s="187"/>
      <c r="C230" s="188"/>
      <c r="D230" s="226"/>
      <c r="E230" s="226"/>
      <c r="F230" s="227"/>
      <c r="G230" s="228"/>
      <c r="H230" s="187"/>
      <c r="I230" s="191"/>
      <c r="J230" s="276"/>
      <c r="K230" s="278"/>
      <c r="L230" s="191"/>
    </row>
    <row r="231" customFormat="false" ht="15" hidden="false" customHeight="true" outlineLevel="0" collapsed="false">
      <c r="B231" s="187"/>
      <c r="C231" s="188"/>
      <c r="D231" s="189"/>
      <c r="E231" s="189"/>
      <c r="F231" s="187"/>
      <c r="G231" s="190"/>
      <c r="H231" s="187"/>
      <c r="I231" s="191"/>
      <c r="J231" s="276"/>
      <c r="K231" s="278"/>
      <c r="L231" s="191"/>
    </row>
    <row r="232" customFormat="false" ht="15" hidden="false" customHeight="true" outlineLevel="0" collapsed="false">
      <c r="B232" s="187"/>
      <c r="C232" s="188"/>
      <c r="D232" s="189"/>
      <c r="E232" s="189"/>
      <c r="F232" s="187"/>
      <c r="G232" s="190"/>
      <c r="H232" s="187"/>
      <c r="I232" s="191"/>
      <c r="J232" s="276"/>
      <c r="K232" s="278"/>
      <c r="L232" s="191"/>
    </row>
    <row r="233" customFormat="false" ht="15" hidden="false" customHeight="true" outlineLevel="0" collapsed="false">
      <c r="B233" s="187"/>
      <c r="C233" s="188"/>
      <c r="D233" s="189"/>
      <c r="E233" s="189"/>
      <c r="F233" s="187"/>
      <c r="G233" s="190"/>
      <c r="H233" s="187"/>
      <c r="I233" s="191"/>
      <c r="J233" s="276"/>
      <c r="K233" s="278"/>
      <c r="L233" s="191"/>
    </row>
    <row r="234" customFormat="false" ht="15" hidden="false" customHeight="true" outlineLevel="0" collapsed="false">
      <c r="B234" s="187"/>
      <c r="C234" s="188"/>
      <c r="D234" s="189"/>
      <c r="E234" s="189"/>
      <c r="F234" s="187"/>
      <c r="G234" s="190"/>
      <c r="H234" s="187"/>
      <c r="I234" s="191"/>
      <c r="J234" s="276"/>
      <c r="K234" s="278"/>
      <c r="L234" s="191"/>
    </row>
    <row r="235" customFormat="false" ht="15" hidden="false" customHeight="true" outlineLevel="0" collapsed="false">
      <c r="B235" s="187"/>
      <c r="C235" s="188"/>
      <c r="D235" s="189"/>
      <c r="E235" s="189"/>
      <c r="F235" s="187"/>
      <c r="G235" s="190"/>
      <c r="H235" s="187"/>
      <c r="I235" s="191"/>
      <c r="J235" s="276"/>
      <c r="K235" s="278"/>
      <c r="L235" s="191"/>
    </row>
    <row r="236" customFormat="false" ht="15" hidden="false" customHeight="true" outlineLevel="0" collapsed="false">
      <c r="B236" s="187"/>
      <c r="C236" s="188"/>
      <c r="D236" s="189"/>
      <c r="E236" s="189"/>
      <c r="F236" s="187"/>
      <c r="G236" s="190"/>
      <c r="H236" s="187"/>
      <c r="I236" s="191"/>
      <c r="J236" s="276"/>
      <c r="K236" s="278"/>
      <c r="L236" s="191"/>
    </row>
    <row r="237" customFormat="false" ht="15" hidden="false" customHeight="true" outlineLevel="0" collapsed="false">
      <c r="B237" s="281" t="s">
        <v>442</v>
      </c>
      <c r="C237" s="282"/>
      <c r="D237" s="253"/>
      <c r="E237" s="253"/>
      <c r="F237" s="283"/>
      <c r="G237" s="284" t="n">
        <f aca="false">SUM(G212:G236)</f>
        <v>0</v>
      </c>
      <c r="H237" s="283"/>
      <c r="I237" s="285"/>
      <c r="J237" s="286"/>
      <c r="K237" s="287"/>
      <c r="L237" s="287"/>
    </row>
    <row r="238" customFormat="false" ht="15" hidden="false" customHeight="true" outlineLevel="0" collapsed="false">
      <c r="B238" s="187"/>
      <c r="C238" s="188"/>
      <c r="D238" s="189"/>
      <c r="E238" s="189"/>
      <c r="F238" s="187"/>
      <c r="G238" s="190"/>
      <c r="H238" s="187"/>
      <c r="I238" s="191"/>
      <c r="J238" s="276"/>
      <c r="K238" s="277"/>
      <c r="L238" s="194"/>
    </row>
    <row r="239" customFormat="false" ht="15" hidden="false" customHeight="true" outlineLevel="0" collapsed="false">
      <c r="B239" s="187"/>
      <c r="C239" s="188"/>
      <c r="D239" s="189"/>
      <c r="E239" s="189"/>
      <c r="F239" s="187"/>
      <c r="G239" s="190"/>
      <c r="H239" s="187"/>
      <c r="I239" s="191"/>
      <c r="J239" s="276"/>
      <c r="K239" s="278"/>
      <c r="L239" s="191"/>
    </row>
    <row r="240" customFormat="false" ht="15" hidden="false" customHeight="true" outlineLevel="0" collapsed="false">
      <c r="B240" s="187"/>
      <c r="C240" s="188"/>
      <c r="D240" s="189"/>
      <c r="E240" s="189"/>
      <c r="F240" s="187"/>
      <c r="G240" s="190"/>
      <c r="H240" s="187"/>
      <c r="I240" s="191"/>
      <c r="J240" s="276"/>
      <c r="K240" s="278"/>
      <c r="L240" s="191"/>
    </row>
    <row r="241" customFormat="false" ht="15" hidden="false" customHeight="true" outlineLevel="0" collapsed="false">
      <c r="B241" s="187"/>
      <c r="C241" s="188"/>
      <c r="D241" s="189"/>
      <c r="E241" s="189"/>
      <c r="F241" s="187"/>
      <c r="G241" s="190"/>
      <c r="H241" s="187"/>
      <c r="I241" s="191"/>
      <c r="J241" s="276"/>
      <c r="K241" s="278"/>
      <c r="L241" s="191"/>
    </row>
    <row r="242" customFormat="false" ht="15" hidden="false" customHeight="true" outlineLevel="0" collapsed="false">
      <c r="B242" s="187"/>
      <c r="C242" s="188"/>
      <c r="D242" s="189"/>
      <c r="E242" s="189"/>
      <c r="F242" s="187"/>
      <c r="G242" s="190"/>
      <c r="H242" s="187"/>
      <c r="I242" s="191"/>
      <c r="J242" s="276"/>
      <c r="K242" s="278"/>
      <c r="L242" s="191"/>
    </row>
    <row r="243" customFormat="false" ht="15" hidden="false" customHeight="true" outlineLevel="0" collapsed="false">
      <c r="B243" s="272"/>
      <c r="C243" s="188"/>
      <c r="D243" s="211"/>
      <c r="E243" s="211"/>
      <c r="F243" s="212"/>
      <c r="G243" s="213"/>
      <c r="H243" s="212"/>
      <c r="I243" s="214"/>
      <c r="J243" s="279"/>
      <c r="K243" s="280"/>
      <c r="L243" s="217"/>
    </row>
    <row r="244" customFormat="false" ht="15" hidden="false" customHeight="true" outlineLevel="0" collapsed="false">
      <c r="B244" s="187"/>
      <c r="C244" s="188"/>
      <c r="D244" s="189"/>
      <c r="E244" s="189"/>
      <c r="F244" s="187"/>
      <c r="G244" s="190"/>
      <c r="H244" s="187"/>
      <c r="I244" s="191"/>
      <c r="J244" s="276"/>
      <c r="K244" s="278"/>
      <c r="L244" s="191"/>
    </row>
    <row r="245" customFormat="false" ht="15" hidden="false" customHeight="true" outlineLevel="0" collapsed="false">
      <c r="B245" s="187"/>
      <c r="C245" s="188"/>
      <c r="D245" s="189"/>
      <c r="E245" s="189"/>
      <c r="F245" s="187"/>
      <c r="G245" s="190"/>
      <c r="H245" s="187"/>
      <c r="I245" s="191"/>
      <c r="J245" s="276"/>
      <c r="K245" s="278"/>
      <c r="L245" s="191"/>
    </row>
    <row r="246" customFormat="false" ht="15" hidden="false" customHeight="true" outlineLevel="0" collapsed="false">
      <c r="B246" s="187"/>
      <c r="C246" s="188"/>
      <c r="D246" s="189"/>
      <c r="E246" s="189"/>
      <c r="F246" s="187"/>
      <c r="G246" s="190"/>
      <c r="H246" s="187"/>
      <c r="I246" s="191"/>
      <c r="J246" s="276"/>
      <c r="K246" s="278"/>
      <c r="L246" s="191"/>
    </row>
    <row r="247" customFormat="false" ht="15" hidden="false" customHeight="true" outlineLevel="0" collapsed="false">
      <c r="B247" s="187"/>
      <c r="C247" s="188"/>
      <c r="D247" s="189"/>
      <c r="E247" s="189"/>
      <c r="F247" s="187"/>
      <c r="G247" s="190"/>
      <c r="H247" s="187"/>
      <c r="I247" s="191"/>
      <c r="J247" s="276"/>
      <c r="K247" s="278"/>
      <c r="L247" s="191"/>
    </row>
    <row r="248" customFormat="false" ht="15" hidden="false" customHeight="true" outlineLevel="0" collapsed="false">
      <c r="B248" s="187"/>
      <c r="C248" s="188"/>
      <c r="D248" s="189"/>
      <c r="E248" s="189"/>
      <c r="F248" s="187"/>
      <c r="G248" s="190"/>
      <c r="H248" s="187"/>
      <c r="I248" s="191"/>
      <c r="J248" s="276"/>
      <c r="K248" s="278"/>
      <c r="L248" s="191"/>
    </row>
    <row r="249" customFormat="false" ht="15" hidden="false" customHeight="true" outlineLevel="0" collapsed="false">
      <c r="B249" s="187"/>
      <c r="C249" s="188"/>
      <c r="D249" s="189"/>
      <c r="E249" s="189"/>
      <c r="F249" s="187"/>
      <c r="G249" s="190"/>
      <c r="H249" s="187"/>
      <c r="I249" s="191"/>
      <c r="J249" s="276"/>
      <c r="K249" s="278"/>
      <c r="L249" s="191"/>
    </row>
    <row r="250" customFormat="false" ht="15" hidden="false" customHeight="true" outlineLevel="0" collapsed="false">
      <c r="B250" s="187"/>
      <c r="C250" s="188"/>
      <c r="D250" s="189"/>
      <c r="E250" s="189"/>
      <c r="F250" s="187"/>
      <c r="G250" s="190"/>
      <c r="H250" s="187"/>
      <c r="I250" s="191"/>
      <c r="J250" s="276"/>
      <c r="K250" s="278"/>
      <c r="L250" s="191"/>
    </row>
    <row r="251" customFormat="false" ht="15" hidden="false" customHeight="true" outlineLevel="0" collapsed="false">
      <c r="B251" s="187"/>
      <c r="C251" s="188"/>
      <c r="D251" s="189"/>
      <c r="E251" s="189"/>
      <c r="F251" s="187"/>
      <c r="G251" s="190"/>
      <c r="H251" s="187"/>
      <c r="I251" s="191"/>
      <c r="J251" s="276"/>
      <c r="K251" s="278"/>
      <c r="L251" s="191"/>
    </row>
    <row r="252" customFormat="false" ht="15" hidden="false" customHeight="true" outlineLevel="0" collapsed="false">
      <c r="B252" s="187"/>
      <c r="C252" s="188"/>
      <c r="D252" s="189"/>
      <c r="E252" s="189"/>
      <c r="F252" s="187"/>
      <c r="G252" s="190"/>
      <c r="H252" s="187"/>
      <c r="I252" s="191"/>
      <c r="J252" s="276"/>
      <c r="K252" s="278"/>
      <c r="L252" s="191"/>
    </row>
    <row r="253" customFormat="false" ht="15" hidden="false" customHeight="true" outlineLevel="0" collapsed="false">
      <c r="B253" s="187"/>
      <c r="C253" s="188"/>
      <c r="D253" s="189"/>
      <c r="E253" s="189"/>
      <c r="F253" s="187"/>
      <c r="G253" s="190"/>
      <c r="H253" s="187"/>
      <c r="I253" s="191"/>
      <c r="J253" s="276"/>
      <c r="K253" s="278"/>
      <c r="L253" s="191"/>
    </row>
    <row r="254" customFormat="false" ht="15" hidden="false" customHeight="true" outlineLevel="0" collapsed="false">
      <c r="B254" s="187"/>
      <c r="C254" s="188"/>
      <c r="D254" s="189"/>
      <c r="E254" s="189"/>
      <c r="F254" s="187"/>
      <c r="G254" s="190"/>
      <c r="H254" s="187"/>
      <c r="I254" s="191"/>
      <c r="J254" s="276"/>
      <c r="K254" s="277"/>
      <c r="L254" s="191"/>
    </row>
    <row r="255" customFormat="false" ht="15" hidden="false" customHeight="true" outlineLevel="0" collapsed="false">
      <c r="B255" s="187"/>
      <c r="C255" s="188"/>
      <c r="D255" s="189"/>
      <c r="E255" s="189"/>
      <c r="F255" s="187"/>
      <c r="G255" s="190"/>
      <c r="H255" s="187"/>
      <c r="I255" s="191"/>
      <c r="J255" s="276"/>
      <c r="K255" s="278"/>
      <c r="L255" s="191"/>
    </row>
    <row r="256" customFormat="false" ht="15" hidden="false" customHeight="true" outlineLevel="0" collapsed="false">
      <c r="B256" s="187"/>
      <c r="C256" s="188"/>
      <c r="D256" s="226"/>
      <c r="E256" s="226"/>
      <c r="F256" s="227"/>
      <c r="G256" s="228"/>
      <c r="H256" s="187"/>
      <c r="I256" s="191"/>
      <c r="J256" s="276"/>
      <c r="K256" s="278"/>
      <c r="L256" s="191"/>
    </row>
    <row r="257" customFormat="false" ht="15" hidden="false" customHeight="true" outlineLevel="0" collapsed="false">
      <c r="B257" s="187"/>
      <c r="C257" s="188"/>
      <c r="D257" s="189"/>
      <c r="E257" s="189"/>
      <c r="F257" s="187"/>
      <c r="G257" s="190"/>
      <c r="H257" s="187"/>
      <c r="I257" s="191"/>
      <c r="J257" s="276"/>
      <c r="K257" s="278"/>
      <c r="L257" s="191"/>
    </row>
    <row r="258" customFormat="false" ht="15" hidden="false" customHeight="true" outlineLevel="0" collapsed="false">
      <c r="B258" s="187"/>
      <c r="C258" s="188"/>
      <c r="D258" s="189"/>
      <c r="E258" s="189"/>
      <c r="F258" s="187"/>
      <c r="G258" s="190"/>
      <c r="H258" s="187"/>
      <c r="I258" s="191"/>
      <c r="J258" s="276"/>
      <c r="K258" s="278"/>
      <c r="L258" s="191"/>
    </row>
    <row r="259" customFormat="false" ht="15" hidden="false" customHeight="true" outlineLevel="0" collapsed="false">
      <c r="B259" s="187"/>
      <c r="C259" s="188"/>
      <c r="D259" s="189"/>
      <c r="E259" s="189"/>
      <c r="F259" s="187"/>
      <c r="G259" s="190"/>
      <c r="H259" s="187"/>
      <c r="I259" s="191"/>
      <c r="J259" s="276"/>
      <c r="K259" s="278"/>
      <c r="L259" s="191"/>
    </row>
    <row r="260" customFormat="false" ht="15" hidden="false" customHeight="true" outlineLevel="0" collapsed="false">
      <c r="B260" s="187"/>
      <c r="C260" s="188"/>
      <c r="D260" s="189"/>
      <c r="E260" s="189"/>
      <c r="F260" s="187"/>
      <c r="G260" s="190"/>
      <c r="H260" s="187"/>
      <c r="I260" s="191"/>
      <c r="J260" s="276"/>
      <c r="K260" s="278"/>
      <c r="L260" s="191"/>
    </row>
    <row r="261" customFormat="false" ht="15" hidden="false" customHeight="true" outlineLevel="0" collapsed="false">
      <c r="B261" s="187"/>
      <c r="C261" s="188"/>
      <c r="D261" s="189"/>
      <c r="E261" s="189"/>
      <c r="F261" s="187"/>
      <c r="G261" s="190"/>
      <c r="H261" s="187"/>
      <c r="I261" s="191"/>
      <c r="J261" s="276"/>
      <c r="K261" s="278"/>
      <c r="L261" s="191"/>
    </row>
    <row r="262" customFormat="false" ht="15" hidden="false" customHeight="true" outlineLevel="0" collapsed="false">
      <c r="B262" s="187"/>
      <c r="C262" s="188"/>
      <c r="D262" s="189"/>
      <c r="E262" s="189"/>
      <c r="F262" s="187"/>
      <c r="G262" s="190"/>
      <c r="H262" s="187"/>
      <c r="I262" s="191"/>
      <c r="J262" s="276"/>
      <c r="K262" s="278"/>
      <c r="L262" s="191"/>
    </row>
    <row r="263" customFormat="false" ht="15" hidden="false" customHeight="true" outlineLevel="0" collapsed="false">
      <c r="B263" s="281" t="s">
        <v>443</v>
      </c>
      <c r="C263" s="282"/>
      <c r="D263" s="253"/>
      <c r="E263" s="253"/>
      <c r="F263" s="283"/>
      <c r="G263" s="284" t="n">
        <f aca="false">SUM(G238:G262)</f>
        <v>0</v>
      </c>
      <c r="H263" s="283"/>
      <c r="I263" s="285"/>
      <c r="J263" s="286"/>
      <c r="K263" s="287"/>
      <c r="L263" s="287"/>
    </row>
    <row r="264" customFormat="false" ht="15" hidden="false" customHeight="true" outlineLevel="0" collapsed="false">
      <c r="B264" s="187"/>
      <c r="C264" s="188"/>
      <c r="D264" s="189"/>
      <c r="E264" s="189"/>
      <c r="F264" s="187"/>
      <c r="G264" s="190"/>
      <c r="H264" s="187"/>
      <c r="I264" s="191"/>
      <c r="J264" s="276"/>
      <c r="K264" s="277"/>
      <c r="L264" s="194"/>
    </row>
    <row r="265" customFormat="false" ht="15" hidden="false" customHeight="true" outlineLevel="0" collapsed="false">
      <c r="B265" s="187"/>
      <c r="C265" s="188"/>
      <c r="D265" s="189"/>
      <c r="E265" s="189"/>
      <c r="F265" s="187"/>
      <c r="G265" s="190"/>
      <c r="H265" s="187"/>
      <c r="I265" s="191"/>
      <c r="J265" s="276"/>
      <c r="K265" s="278"/>
      <c r="L265" s="191"/>
    </row>
    <row r="266" customFormat="false" ht="15" hidden="false" customHeight="true" outlineLevel="0" collapsed="false">
      <c r="B266" s="187"/>
      <c r="C266" s="188"/>
      <c r="D266" s="189"/>
      <c r="E266" s="189"/>
      <c r="F266" s="187"/>
      <c r="G266" s="190"/>
      <c r="H266" s="187"/>
      <c r="I266" s="191"/>
      <c r="J266" s="276"/>
      <c r="K266" s="278"/>
      <c r="L266" s="191"/>
    </row>
    <row r="267" customFormat="false" ht="15" hidden="false" customHeight="true" outlineLevel="0" collapsed="false">
      <c r="B267" s="187"/>
      <c r="C267" s="188"/>
      <c r="D267" s="189"/>
      <c r="E267" s="189"/>
      <c r="F267" s="187"/>
      <c r="G267" s="190"/>
      <c r="H267" s="187"/>
      <c r="I267" s="191"/>
      <c r="J267" s="276"/>
      <c r="K267" s="278"/>
      <c r="L267" s="191"/>
    </row>
    <row r="268" customFormat="false" ht="15" hidden="false" customHeight="true" outlineLevel="0" collapsed="false">
      <c r="B268" s="187"/>
      <c r="C268" s="188"/>
      <c r="D268" s="189"/>
      <c r="E268" s="189"/>
      <c r="F268" s="187"/>
      <c r="G268" s="190"/>
      <c r="H268" s="187"/>
      <c r="I268" s="191"/>
      <c r="J268" s="276"/>
      <c r="K268" s="278"/>
      <c r="L268" s="191"/>
    </row>
    <row r="269" customFormat="false" ht="15" hidden="false" customHeight="true" outlineLevel="0" collapsed="false">
      <c r="B269" s="272"/>
      <c r="C269" s="188"/>
      <c r="D269" s="211"/>
      <c r="E269" s="211"/>
      <c r="F269" s="212"/>
      <c r="G269" s="213"/>
      <c r="H269" s="212"/>
      <c r="I269" s="214"/>
      <c r="J269" s="279"/>
      <c r="K269" s="280"/>
      <c r="L269" s="217"/>
    </row>
    <row r="270" customFormat="false" ht="15" hidden="false" customHeight="true" outlineLevel="0" collapsed="false">
      <c r="B270" s="187"/>
      <c r="C270" s="188"/>
      <c r="D270" s="189"/>
      <c r="E270" s="189"/>
      <c r="F270" s="187"/>
      <c r="G270" s="190"/>
      <c r="H270" s="187"/>
      <c r="I270" s="191"/>
      <c r="J270" s="276"/>
      <c r="K270" s="278"/>
      <c r="L270" s="191"/>
    </row>
    <row r="271" customFormat="false" ht="15" hidden="false" customHeight="true" outlineLevel="0" collapsed="false">
      <c r="B271" s="187"/>
      <c r="C271" s="188"/>
      <c r="D271" s="189"/>
      <c r="E271" s="189"/>
      <c r="F271" s="187"/>
      <c r="G271" s="190"/>
      <c r="H271" s="187"/>
      <c r="I271" s="191"/>
      <c r="J271" s="276"/>
      <c r="K271" s="278"/>
      <c r="L271" s="191"/>
    </row>
    <row r="272" customFormat="false" ht="15" hidden="false" customHeight="true" outlineLevel="0" collapsed="false">
      <c r="B272" s="187"/>
      <c r="C272" s="188"/>
      <c r="D272" s="189"/>
      <c r="E272" s="189"/>
      <c r="F272" s="187"/>
      <c r="G272" s="190"/>
      <c r="H272" s="187"/>
      <c r="I272" s="191"/>
      <c r="J272" s="276"/>
      <c r="K272" s="278"/>
      <c r="L272" s="191"/>
    </row>
    <row r="273" customFormat="false" ht="15" hidden="false" customHeight="true" outlineLevel="0" collapsed="false">
      <c r="B273" s="187"/>
      <c r="C273" s="188"/>
      <c r="D273" s="189"/>
      <c r="E273" s="189"/>
      <c r="F273" s="187"/>
      <c r="G273" s="190"/>
      <c r="H273" s="187"/>
      <c r="I273" s="191"/>
      <c r="J273" s="276"/>
      <c r="K273" s="278"/>
      <c r="L273" s="191"/>
    </row>
    <row r="274" customFormat="false" ht="15" hidden="false" customHeight="true" outlineLevel="0" collapsed="false">
      <c r="B274" s="187"/>
      <c r="C274" s="188"/>
      <c r="D274" s="189"/>
      <c r="E274" s="189"/>
      <c r="F274" s="187"/>
      <c r="G274" s="190"/>
      <c r="H274" s="187"/>
      <c r="I274" s="191"/>
      <c r="J274" s="276"/>
      <c r="K274" s="278"/>
      <c r="L274" s="191"/>
    </row>
    <row r="275" customFormat="false" ht="15" hidden="false" customHeight="true" outlineLevel="0" collapsed="false">
      <c r="B275" s="187"/>
      <c r="C275" s="188"/>
      <c r="D275" s="189"/>
      <c r="E275" s="189"/>
      <c r="F275" s="187"/>
      <c r="G275" s="190"/>
      <c r="H275" s="187"/>
      <c r="I275" s="191"/>
      <c r="J275" s="276"/>
      <c r="K275" s="278"/>
      <c r="L275" s="191"/>
    </row>
    <row r="276" customFormat="false" ht="15" hidden="false" customHeight="true" outlineLevel="0" collapsed="false">
      <c r="B276" s="187"/>
      <c r="C276" s="188"/>
      <c r="D276" s="189"/>
      <c r="E276" s="189"/>
      <c r="F276" s="187"/>
      <c r="G276" s="190"/>
      <c r="H276" s="187"/>
      <c r="I276" s="191"/>
      <c r="J276" s="276"/>
      <c r="K276" s="278"/>
      <c r="L276" s="191"/>
    </row>
    <row r="277" customFormat="false" ht="15" hidden="false" customHeight="true" outlineLevel="0" collapsed="false">
      <c r="B277" s="187"/>
      <c r="C277" s="188"/>
      <c r="D277" s="189"/>
      <c r="E277" s="189"/>
      <c r="F277" s="187"/>
      <c r="G277" s="190"/>
      <c r="H277" s="187"/>
      <c r="I277" s="191"/>
      <c r="J277" s="276"/>
      <c r="K277" s="278"/>
      <c r="L277" s="191"/>
    </row>
    <row r="278" customFormat="false" ht="15" hidden="false" customHeight="true" outlineLevel="0" collapsed="false">
      <c r="B278" s="187"/>
      <c r="C278" s="188"/>
      <c r="D278" s="189"/>
      <c r="E278" s="189"/>
      <c r="F278" s="187"/>
      <c r="G278" s="190"/>
      <c r="H278" s="187"/>
      <c r="I278" s="191"/>
      <c r="J278" s="276"/>
      <c r="K278" s="278"/>
      <c r="L278" s="191"/>
    </row>
    <row r="279" customFormat="false" ht="15" hidden="false" customHeight="true" outlineLevel="0" collapsed="false">
      <c r="B279" s="187"/>
      <c r="C279" s="188"/>
      <c r="D279" s="189"/>
      <c r="E279" s="189"/>
      <c r="F279" s="187"/>
      <c r="G279" s="190"/>
      <c r="H279" s="187"/>
      <c r="I279" s="191"/>
      <c r="J279" s="276"/>
      <c r="K279" s="278"/>
      <c r="L279" s="191"/>
    </row>
    <row r="280" customFormat="false" ht="15" hidden="false" customHeight="true" outlineLevel="0" collapsed="false">
      <c r="B280" s="187"/>
      <c r="C280" s="188"/>
      <c r="D280" s="189"/>
      <c r="E280" s="189"/>
      <c r="F280" s="187"/>
      <c r="G280" s="190"/>
      <c r="H280" s="187"/>
      <c r="I280" s="191"/>
      <c r="J280" s="276"/>
      <c r="K280" s="277"/>
      <c r="L280" s="191"/>
    </row>
    <row r="281" customFormat="false" ht="15" hidden="false" customHeight="true" outlineLevel="0" collapsed="false">
      <c r="B281" s="187"/>
      <c r="C281" s="188"/>
      <c r="D281" s="189"/>
      <c r="E281" s="189"/>
      <c r="F281" s="187"/>
      <c r="G281" s="190"/>
      <c r="H281" s="187"/>
      <c r="I281" s="191"/>
      <c r="J281" s="276"/>
      <c r="K281" s="278"/>
      <c r="L281" s="191"/>
    </row>
    <row r="282" customFormat="false" ht="15" hidden="false" customHeight="true" outlineLevel="0" collapsed="false">
      <c r="B282" s="187"/>
      <c r="C282" s="188"/>
      <c r="D282" s="226"/>
      <c r="E282" s="226"/>
      <c r="F282" s="227"/>
      <c r="G282" s="228"/>
      <c r="H282" s="187"/>
      <c r="I282" s="191"/>
      <c r="J282" s="276"/>
      <c r="K282" s="278"/>
      <c r="L282" s="191"/>
    </row>
    <row r="283" customFormat="false" ht="15" hidden="false" customHeight="true" outlineLevel="0" collapsed="false">
      <c r="B283" s="187"/>
      <c r="C283" s="188"/>
      <c r="D283" s="189"/>
      <c r="E283" s="189"/>
      <c r="F283" s="187"/>
      <c r="G283" s="190"/>
      <c r="H283" s="187"/>
      <c r="I283" s="191"/>
      <c r="J283" s="276"/>
      <c r="K283" s="278"/>
      <c r="L283" s="191"/>
    </row>
    <row r="284" customFormat="false" ht="15" hidden="false" customHeight="true" outlineLevel="0" collapsed="false">
      <c r="B284" s="187"/>
      <c r="C284" s="188"/>
      <c r="D284" s="189"/>
      <c r="E284" s="189"/>
      <c r="F284" s="187"/>
      <c r="G284" s="190"/>
      <c r="H284" s="187"/>
      <c r="I284" s="191"/>
      <c r="J284" s="276"/>
      <c r="K284" s="278"/>
      <c r="L284" s="191"/>
    </row>
    <row r="285" customFormat="false" ht="15" hidden="false" customHeight="true" outlineLevel="0" collapsed="false">
      <c r="B285" s="187"/>
      <c r="C285" s="188"/>
      <c r="D285" s="189"/>
      <c r="E285" s="189"/>
      <c r="F285" s="187"/>
      <c r="G285" s="190"/>
      <c r="H285" s="187"/>
      <c r="I285" s="191"/>
      <c r="J285" s="276"/>
      <c r="K285" s="278"/>
      <c r="L285" s="191"/>
    </row>
    <row r="286" customFormat="false" ht="15" hidden="false" customHeight="true" outlineLevel="0" collapsed="false">
      <c r="B286" s="187"/>
      <c r="C286" s="188"/>
      <c r="D286" s="189"/>
      <c r="E286" s="189"/>
      <c r="F286" s="187"/>
      <c r="G286" s="190"/>
      <c r="H286" s="187"/>
      <c r="I286" s="191"/>
      <c r="J286" s="276"/>
      <c r="K286" s="278"/>
      <c r="L286" s="191"/>
    </row>
    <row r="287" customFormat="false" ht="15" hidden="false" customHeight="true" outlineLevel="0" collapsed="false">
      <c r="B287" s="187"/>
      <c r="C287" s="188"/>
      <c r="D287" s="189"/>
      <c r="E287" s="189"/>
      <c r="F287" s="187"/>
      <c r="G287" s="190"/>
      <c r="H287" s="187"/>
      <c r="I287" s="191"/>
      <c r="J287" s="276"/>
      <c r="K287" s="278"/>
      <c r="L287" s="191"/>
    </row>
    <row r="288" customFormat="false" ht="15" hidden="false" customHeight="true" outlineLevel="0" collapsed="false">
      <c r="B288" s="187"/>
      <c r="C288" s="188"/>
      <c r="D288" s="189"/>
      <c r="E288" s="189"/>
      <c r="F288" s="187"/>
      <c r="G288" s="190"/>
      <c r="H288" s="187"/>
      <c r="I288" s="191"/>
      <c r="J288" s="276"/>
      <c r="K288" s="278"/>
      <c r="L288" s="191"/>
    </row>
    <row r="289" customFormat="false" ht="15" hidden="false" customHeight="true" outlineLevel="0" collapsed="false">
      <c r="B289" s="281" t="s">
        <v>444</v>
      </c>
      <c r="C289" s="282"/>
      <c r="D289" s="253"/>
      <c r="E289" s="253"/>
      <c r="F289" s="283"/>
      <c r="G289" s="284" t="n">
        <f aca="false">SUM(G264:G288)</f>
        <v>0</v>
      </c>
      <c r="H289" s="283"/>
      <c r="I289" s="285"/>
      <c r="J289" s="286"/>
      <c r="K289" s="287"/>
      <c r="L289" s="287"/>
    </row>
    <row r="290" customFormat="false" ht="15" hidden="false" customHeight="true" outlineLevel="0" collapsed="false">
      <c r="B290" s="187"/>
      <c r="C290" s="188"/>
      <c r="D290" s="189"/>
      <c r="E290" s="189"/>
      <c r="F290" s="187"/>
      <c r="G290" s="190"/>
      <c r="H290" s="187"/>
      <c r="I290" s="191"/>
      <c r="J290" s="276"/>
      <c r="K290" s="277"/>
      <c r="L290" s="194"/>
    </row>
    <row r="291" customFormat="false" ht="15" hidden="false" customHeight="true" outlineLevel="0" collapsed="false">
      <c r="B291" s="187"/>
      <c r="C291" s="188"/>
      <c r="D291" s="189"/>
      <c r="E291" s="189"/>
      <c r="F291" s="187"/>
      <c r="G291" s="190"/>
      <c r="H291" s="187"/>
      <c r="I291" s="191"/>
      <c r="J291" s="276"/>
      <c r="K291" s="278"/>
      <c r="L291" s="191"/>
    </row>
    <row r="292" customFormat="false" ht="15" hidden="false" customHeight="true" outlineLevel="0" collapsed="false">
      <c r="B292" s="187"/>
      <c r="C292" s="188"/>
      <c r="D292" s="189"/>
      <c r="E292" s="189"/>
      <c r="F292" s="187"/>
      <c r="G292" s="190"/>
      <c r="H292" s="187"/>
      <c r="I292" s="191"/>
      <c r="J292" s="276"/>
      <c r="K292" s="278"/>
      <c r="L292" s="191"/>
    </row>
    <row r="293" customFormat="false" ht="15" hidden="false" customHeight="true" outlineLevel="0" collapsed="false">
      <c r="B293" s="187"/>
      <c r="C293" s="188"/>
      <c r="D293" s="189"/>
      <c r="E293" s="189"/>
      <c r="F293" s="187"/>
      <c r="G293" s="190"/>
      <c r="H293" s="187"/>
      <c r="I293" s="191"/>
      <c r="J293" s="276"/>
      <c r="K293" s="278"/>
      <c r="L293" s="191"/>
    </row>
    <row r="294" customFormat="false" ht="15" hidden="false" customHeight="true" outlineLevel="0" collapsed="false">
      <c r="B294" s="187"/>
      <c r="C294" s="188"/>
      <c r="D294" s="189"/>
      <c r="E294" s="189"/>
      <c r="F294" s="187"/>
      <c r="G294" s="190"/>
      <c r="H294" s="187"/>
      <c r="I294" s="191"/>
      <c r="J294" s="276"/>
      <c r="K294" s="278"/>
      <c r="L294" s="191"/>
    </row>
    <row r="295" customFormat="false" ht="15" hidden="false" customHeight="true" outlineLevel="0" collapsed="false">
      <c r="B295" s="272"/>
      <c r="C295" s="188"/>
      <c r="D295" s="211"/>
      <c r="E295" s="211"/>
      <c r="F295" s="212"/>
      <c r="G295" s="213"/>
      <c r="H295" s="212"/>
      <c r="I295" s="214"/>
      <c r="J295" s="279"/>
      <c r="K295" s="280"/>
      <c r="L295" s="217"/>
    </row>
    <row r="296" customFormat="false" ht="15" hidden="false" customHeight="true" outlineLevel="0" collapsed="false">
      <c r="B296" s="187"/>
      <c r="C296" s="188"/>
      <c r="D296" s="189"/>
      <c r="E296" s="189"/>
      <c r="F296" s="187"/>
      <c r="G296" s="190"/>
      <c r="H296" s="187"/>
      <c r="I296" s="191"/>
      <c r="J296" s="276"/>
      <c r="K296" s="278"/>
      <c r="L296" s="191"/>
    </row>
    <row r="297" customFormat="false" ht="15" hidden="false" customHeight="true" outlineLevel="0" collapsed="false">
      <c r="B297" s="187"/>
      <c r="C297" s="188"/>
      <c r="D297" s="189"/>
      <c r="E297" s="189"/>
      <c r="F297" s="187"/>
      <c r="G297" s="190"/>
      <c r="H297" s="187"/>
      <c r="I297" s="191"/>
      <c r="J297" s="276"/>
      <c r="K297" s="278"/>
      <c r="L297" s="191"/>
    </row>
    <row r="298" customFormat="false" ht="15" hidden="false" customHeight="true" outlineLevel="0" collapsed="false">
      <c r="B298" s="187"/>
      <c r="C298" s="188"/>
      <c r="D298" s="189"/>
      <c r="E298" s="189"/>
      <c r="F298" s="187"/>
      <c r="G298" s="190"/>
      <c r="H298" s="187"/>
      <c r="I298" s="191"/>
      <c r="J298" s="276"/>
      <c r="K298" s="278"/>
      <c r="L298" s="191"/>
    </row>
    <row r="299" customFormat="false" ht="15" hidden="false" customHeight="true" outlineLevel="0" collapsed="false">
      <c r="B299" s="187"/>
      <c r="C299" s="188"/>
      <c r="D299" s="189"/>
      <c r="E299" s="189"/>
      <c r="F299" s="187"/>
      <c r="G299" s="190"/>
      <c r="H299" s="187"/>
      <c r="I299" s="191"/>
      <c r="J299" s="276"/>
      <c r="K299" s="278"/>
      <c r="L299" s="191"/>
    </row>
    <row r="300" customFormat="false" ht="15" hidden="false" customHeight="true" outlineLevel="0" collapsed="false">
      <c r="B300" s="187"/>
      <c r="C300" s="188"/>
      <c r="D300" s="189"/>
      <c r="E300" s="189"/>
      <c r="F300" s="187"/>
      <c r="G300" s="190"/>
      <c r="H300" s="187"/>
      <c r="I300" s="191"/>
      <c r="J300" s="276"/>
      <c r="K300" s="278"/>
      <c r="L300" s="191"/>
    </row>
    <row r="301" customFormat="false" ht="15" hidden="false" customHeight="true" outlineLevel="0" collapsed="false">
      <c r="B301" s="187"/>
      <c r="C301" s="188"/>
      <c r="D301" s="189"/>
      <c r="E301" s="189"/>
      <c r="F301" s="187"/>
      <c r="G301" s="190"/>
      <c r="H301" s="187"/>
      <c r="I301" s="191"/>
      <c r="J301" s="276"/>
      <c r="K301" s="278"/>
      <c r="L301" s="191"/>
    </row>
    <row r="302" customFormat="false" ht="15" hidden="false" customHeight="true" outlineLevel="0" collapsed="false">
      <c r="B302" s="187"/>
      <c r="C302" s="188"/>
      <c r="D302" s="189"/>
      <c r="E302" s="189"/>
      <c r="F302" s="187"/>
      <c r="G302" s="190"/>
      <c r="H302" s="187"/>
      <c r="I302" s="191"/>
      <c r="J302" s="276"/>
      <c r="K302" s="278"/>
      <c r="L302" s="191"/>
    </row>
    <row r="303" customFormat="false" ht="15" hidden="false" customHeight="true" outlineLevel="0" collapsed="false">
      <c r="B303" s="187"/>
      <c r="C303" s="188"/>
      <c r="D303" s="189"/>
      <c r="E303" s="189"/>
      <c r="F303" s="187"/>
      <c r="G303" s="190"/>
      <c r="H303" s="187"/>
      <c r="I303" s="191"/>
      <c r="J303" s="276"/>
      <c r="K303" s="278"/>
      <c r="L303" s="191"/>
    </row>
    <row r="304" customFormat="false" ht="15" hidden="false" customHeight="true" outlineLevel="0" collapsed="false">
      <c r="B304" s="187"/>
      <c r="C304" s="188"/>
      <c r="D304" s="189"/>
      <c r="E304" s="189"/>
      <c r="F304" s="187"/>
      <c r="G304" s="190"/>
      <c r="H304" s="187"/>
      <c r="I304" s="191"/>
      <c r="J304" s="276"/>
      <c r="K304" s="278"/>
      <c r="L304" s="191"/>
    </row>
    <row r="305" customFormat="false" ht="15" hidden="false" customHeight="true" outlineLevel="0" collapsed="false">
      <c r="B305" s="187"/>
      <c r="C305" s="188"/>
      <c r="D305" s="189"/>
      <c r="E305" s="189"/>
      <c r="F305" s="187"/>
      <c r="G305" s="190"/>
      <c r="H305" s="187"/>
      <c r="I305" s="191"/>
      <c r="J305" s="276"/>
      <c r="K305" s="278"/>
      <c r="L305" s="191"/>
    </row>
    <row r="306" customFormat="false" ht="15" hidden="false" customHeight="true" outlineLevel="0" collapsed="false">
      <c r="B306" s="187"/>
      <c r="C306" s="188"/>
      <c r="D306" s="189"/>
      <c r="E306" s="189"/>
      <c r="F306" s="187"/>
      <c r="G306" s="190"/>
      <c r="H306" s="187"/>
      <c r="I306" s="191"/>
      <c r="J306" s="276"/>
      <c r="K306" s="277"/>
      <c r="L306" s="191"/>
    </row>
    <row r="307" customFormat="false" ht="15" hidden="false" customHeight="true" outlineLevel="0" collapsed="false">
      <c r="B307" s="187"/>
      <c r="C307" s="188"/>
      <c r="D307" s="189"/>
      <c r="E307" s="189"/>
      <c r="F307" s="187"/>
      <c r="G307" s="190"/>
      <c r="H307" s="187"/>
      <c r="I307" s="191"/>
      <c r="J307" s="276"/>
      <c r="K307" s="278"/>
      <c r="L307" s="191"/>
    </row>
    <row r="308" customFormat="false" ht="15" hidden="false" customHeight="true" outlineLevel="0" collapsed="false">
      <c r="B308" s="187"/>
      <c r="C308" s="188"/>
      <c r="D308" s="226"/>
      <c r="E308" s="226"/>
      <c r="F308" s="227"/>
      <c r="G308" s="228"/>
      <c r="H308" s="187"/>
      <c r="I308" s="191"/>
      <c r="J308" s="276"/>
      <c r="K308" s="278"/>
      <c r="L308" s="191"/>
    </row>
    <row r="309" customFormat="false" ht="15" hidden="false" customHeight="true" outlineLevel="0" collapsed="false">
      <c r="B309" s="187"/>
      <c r="C309" s="188"/>
      <c r="D309" s="189"/>
      <c r="E309" s="189"/>
      <c r="F309" s="187"/>
      <c r="G309" s="190"/>
      <c r="H309" s="187"/>
      <c r="I309" s="191"/>
      <c r="J309" s="276"/>
      <c r="K309" s="278"/>
      <c r="L309" s="191"/>
    </row>
    <row r="310" customFormat="false" ht="15" hidden="false" customHeight="true" outlineLevel="0" collapsed="false">
      <c r="B310" s="187"/>
      <c r="C310" s="188"/>
      <c r="D310" s="189"/>
      <c r="E310" s="189"/>
      <c r="F310" s="187"/>
      <c r="G310" s="190"/>
      <c r="H310" s="187"/>
      <c r="I310" s="191"/>
      <c r="J310" s="276"/>
      <c r="K310" s="278"/>
      <c r="L310" s="191"/>
    </row>
    <row r="311" customFormat="false" ht="15" hidden="false" customHeight="true" outlineLevel="0" collapsed="false">
      <c r="B311" s="187"/>
      <c r="C311" s="188"/>
      <c r="D311" s="189"/>
      <c r="E311" s="189"/>
      <c r="F311" s="187"/>
      <c r="G311" s="190"/>
      <c r="H311" s="187"/>
      <c r="I311" s="191"/>
      <c r="J311" s="276"/>
      <c r="K311" s="278"/>
      <c r="L311" s="191"/>
    </row>
    <row r="312" customFormat="false" ht="15" hidden="false" customHeight="true" outlineLevel="0" collapsed="false">
      <c r="B312" s="187"/>
      <c r="C312" s="188"/>
      <c r="D312" s="189"/>
      <c r="E312" s="189"/>
      <c r="F312" s="187"/>
      <c r="G312" s="190"/>
      <c r="H312" s="187"/>
      <c r="I312" s="191"/>
      <c r="J312" s="276"/>
      <c r="K312" s="278"/>
      <c r="L312" s="191"/>
    </row>
    <row r="313" customFormat="false" ht="15" hidden="false" customHeight="true" outlineLevel="0" collapsed="false">
      <c r="B313" s="187"/>
      <c r="C313" s="188"/>
      <c r="D313" s="189"/>
      <c r="E313" s="189"/>
      <c r="F313" s="187"/>
      <c r="G313" s="190"/>
      <c r="H313" s="187"/>
      <c r="I313" s="191"/>
      <c r="J313" s="276"/>
      <c r="K313" s="278"/>
      <c r="L313" s="191"/>
    </row>
    <row r="314" customFormat="false" ht="15" hidden="false" customHeight="true" outlineLevel="0" collapsed="false">
      <c r="B314" s="187"/>
      <c r="C314" s="188"/>
      <c r="D314" s="189"/>
      <c r="E314" s="189"/>
      <c r="F314" s="187"/>
      <c r="G314" s="190"/>
      <c r="H314" s="187"/>
      <c r="I314" s="191"/>
      <c r="J314" s="276"/>
      <c r="K314" s="278"/>
      <c r="L314" s="191"/>
    </row>
    <row r="315" customFormat="false" ht="15" hidden="false" customHeight="true" outlineLevel="0" collapsed="false">
      <c r="B315" s="281" t="s">
        <v>445</v>
      </c>
      <c r="C315" s="282"/>
      <c r="D315" s="253"/>
      <c r="E315" s="253"/>
      <c r="F315" s="283"/>
      <c r="G315" s="284" t="n">
        <f aca="false">SUM(G290:G314)</f>
        <v>0</v>
      </c>
      <c r="H315" s="283"/>
      <c r="I315" s="285"/>
      <c r="J315" s="286"/>
      <c r="K315" s="287"/>
      <c r="L315" s="287"/>
    </row>
  </sheetData>
  <mergeCells count="2">
    <mergeCell ref="B2:K2"/>
    <mergeCell ref="Q70:R70"/>
  </mergeCells>
  <dataValidations count="4">
    <dataValidation allowBlank="true" errorStyle="stop" operator="between" showDropDown="false" showErrorMessage="true" showInputMessage="true" sqref="J4:J65 R8:R64 X8:X64 AD8:AD64 AJ8:AJ64 AP8:AP64 J66:J315" type="list">
      <formula1>$Q$78:$Q$80</formula1>
      <formula2>0</formula2>
    </dataValidation>
    <dataValidation allowBlank="true" errorStyle="stop" operator="between" showDropDown="false" showErrorMessage="true" showInputMessage="true" sqref="S8:S64 Y8:Y64 AE8:AE64 AK8:AK64 AQ8:AQ64" type="list">
      <formula1>$Q$82:$Q$94</formula1>
      <formula2>0</formula2>
    </dataValidation>
    <dataValidation allowBlank="true" errorStyle="stop" operator="between" showDropDown="false" showErrorMessage="true" showInputMessage="true" sqref="Q8:Q64 W8:W64 AC8:AC64 AI8:AI64 AO8:AO64" type="list">
      <formula1>$Q$71:$Q$76</formula1>
      <formula2>0</formula2>
    </dataValidation>
    <dataValidation allowBlank="true" errorStyle="stop" operator="between" showDropDown="false" showErrorMessage="true" showInputMessage="true" sqref="T8:T64 Z8:Z64 AF8:AF64 AL8:AL64 AR8:AR64" type="list">
      <formula1>$Q$96:$Q$102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G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63" width="18.71"/>
    <col collapsed="false" customWidth="true" hidden="false" outlineLevel="0" max="2" min="2" style="63" width="9.14"/>
    <col collapsed="false" customWidth="true" hidden="false" outlineLevel="0" max="3" min="3" style="63" width="34.42"/>
    <col collapsed="false" customWidth="true" hidden="false" outlineLevel="0" max="9" min="4" style="63" width="13.42"/>
    <col collapsed="false" customWidth="true" hidden="false" outlineLevel="0" max="10" min="10" style="63" width="36.57"/>
    <col collapsed="false" customWidth="true" hidden="false" outlineLevel="0" max="11" min="11" style="63" width="17.15"/>
    <col collapsed="false" customWidth="true" hidden="false" outlineLevel="0" max="12" min="12" style="63" width="14.57"/>
    <col collapsed="false" customWidth="true" hidden="false" outlineLevel="0" max="17" min="13" style="63" width="14.42"/>
    <col collapsed="false" customWidth="true" hidden="false" outlineLevel="0" max="18" min="18" style="63" width="11.57"/>
    <col collapsed="false" customWidth="true" hidden="false" outlineLevel="0" max="19" min="19" style="63" width="12.71"/>
    <col collapsed="false" customWidth="true" hidden="false" outlineLevel="0" max="20" min="20" style="63" width="9.14"/>
    <col collapsed="false" customWidth="true" hidden="false" outlineLevel="0" max="21" min="21" style="63" width="14"/>
    <col collapsed="false" customWidth="true" hidden="false" outlineLevel="0" max="22" min="22" style="63" width="31.57"/>
    <col collapsed="false" customWidth="true" hidden="false" outlineLevel="0" max="23" min="23" style="63" width="36.71"/>
    <col collapsed="false" customWidth="true" hidden="false" outlineLevel="0" max="24" min="24" style="63" width="14.86"/>
    <col collapsed="false" customWidth="true" hidden="false" outlineLevel="0" max="26" min="25" style="63" width="9.14"/>
    <col collapsed="false" customWidth="true" hidden="false" outlineLevel="0" max="27" min="27" style="63" width="14.42"/>
    <col collapsed="false" customWidth="true" hidden="false" outlineLevel="0" max="28" min="28" style="63" width="21.14"/>
    <col collapsed="false" customWidth="true" hidden="false" outlineLevel="0" max="29" min="29" style="63" width="15.42"/>
    <col collapsed="false" customWidth="true" hidden="false" outlineLevel="0" max="32" min="32" style="63" width="24.14"/>
    <col collapsed="false" customWidth="true" hidden="false" outlineLevel="0" max="33" min="33" style="63" width="12.15"/>
  </cols>
  <sheetData>
    <row r="2" customFormat="false" ht="15" hidden="false" customHeight="true" outlineLevel="0" collapsed="false">
      <c r="C2" s="180" t="s">
        <v>327</v>
      </c>
      <c r="D2" s="180" t="s">
        <v>344</v>
      </c>
      <c r="E2" s="180" t="s">
        <v>345</v>
      </c>
      <c r="F2" s="181" t="s">
        <v>346</v>
      </c>
      <c r="G2" s="181" t="s">
        <v>347</v>
      </c>
      <c r="H2" s="181" t="s">
        <v>348</v>
      </c>
      <c r="I2" s="180" t="s">
        <v>349</v>
      </c>
    </row>
    <row r="3" customFormat="false" ht="23.25" hidden="false" customHeight="true" outlineLevel="0" collapsed="false">
      <c r="A3" s="211" t="s">
        <v>83</v>
      </c>
      <c r="B3" s="77" t="n">
        <v>1</v>
      </c>
      <c r="C3" s="183" t="s">
        <v>366</v>
      </c>
      <c r="D3" s="183"/>
      <c r="E3" s="183"/>
      <c r="F3" s="184"/>
      <c r="G3" s="184"/>
      <c r="H3" s="184"/>
      <c r="I3" s="183"/>
      <c r="J3" s="288" t="s">
        <v>446</v>
      </c>
      <c r="K3" s="288"/>
      <c r="N3" s="272" t="s">
        <v>447</v>
      </c>
      <c r="O3" s="210" t="s">
        <v>172</v>
      </c>
      <c r="P3" s="211" t="s">
        <v>83</v>
      </c>
      <c r="Q3" s="211" t="s">
        <v>173</v>
      </c>
      <c r="R3" s="212" t="n">
        <v>5</v>
      </c>
      <c r="S3" s="213" t="n">
        <v>800</v>
      </c>
    </row>
    <row r="4" customFormat="false" ht="45" hidden="false" customHeight="true" outlineLevel="0" collapsed="false">
      <c r="A4" s="211" t="s">
        <v>176</v>
      </c>
      <c r="B4" s="77" t="n">
        <v>1</v>
      </c>
      <c r="C4" s="181"/>
      <c r="D4" s="195" t="s">
        <v>47</v>
      </c>
      <c r="E4" s="184"/>
      <c r="F4" s="184"/>
      <c r="G4" s="184"/>
      <c r="H4" s="184"/>
      <c r="I4" s="289"/>
      <c r="J4" s="42" t="s">
        <v>448</v>
      </c>
      <c r="K4" s="63" t="n">
        <f aca="false">B4+B6+B7+B8+B9+B10+B11+B12+B14+B17+B18+B19+B20</f>
        <v>13</v>
      </c>
      <c r="L4" s="157" t="n">
        <f aca="false">S4+S5+S6+S7+S8+S9+S10+S15+S16+S19+S22+S23+S24+S25</f>
        <v>19900</v>
      </c>
      <c r="M4" s="157" t="n">
        <f aca="false">L4/K4</f>
        <v>1530.76923076923</v>
      </c>
      <c r="N4" s="272" t="s">
        <v>447</v>
      </c>
      <c r="O4" s="210" t="s">
        <v>207</v>
      </c>
      <c r="P4" s="211" t="s">
        <v>176</v>
      </c>
      <c r="Q4" s="211" t="s">
        <v>177</v>
      </c>
      <c r="R4" s="212" t="n">
        <v>5</v>
      </c>
      <c r="S4" s="213" t="n">
        <v>1200</v>
      </c>
      <c r="T4" s="63" t="n">
        <v>1000</v>
      </c>
      <c r="V4" s="290" t="s">
        <v>449</v>
      </c>
      <c r="W4" s="291" t="s">
        <v>450</v>
      </c>
      <c r="X4" s="292" t="s">
        <v>451</v>
      </c>
      <c r="AA4" s="290" t="s">
        <v>449</v>
      </c>
      <c r="AB4" s="291" t="s">
        <v>452</v>
      </c>
      <c r="AC4" s="292" t="s">
        <v>451</v>
      </c>
      <c r="AE4" s="290" t="s">
        <v>449</v>
      </c>
      <c r="AF4" s="291" t="s">
        <v>453</v>
      </c>
      <c r="AG4" s="292" t="s">
        <v>451</v>
      </c>
    </row>
    <row r="5" customFormat="false" ht="15" hidden="false" customHeight="true" outlineLevel="0" collapsed="false">
      <c r="A5" s="211" t="s">
        <v>82</v>
      </c>
      <c r="B5" s="77" t="n">
        <v>1</v>
      </c>
      <c r="C5" s="199"/>
      <c r="D5" s="201" t="s">
        <v>90</v>
      </c>
      <c r="E5" s="201" t="s">
        <v>367</v>
      </c>
      <c r="F5" s="201" t="s">
        <v>91</v>
      </c>
      <c r="G5" s="201" t="s">
        <v>92</v>
      </c>
      <c r="H5" s="201" t="s">
        <v>101</v>
      </c>
      <c r="I5" s="201" t="s">
        <v>94</v>
      </c>
      <c r="J5" s="63" t="s">
        <v>454</v>
      </c>
      <c r="K5" s="63" t="n">
        <f aca="false">B3+B4+B5+B6+B7+B8+B9+B13+B14+B15+B16+B17+B19+B21+B22+B23+B24+B25+B26+B27+B28+B29</f>
        <v>22</v>
      </c>
      <c r="L5" s="157" t="n">
        <f aca="false">S3+T4+S6+T5+S7+S8+S9+S17+S18+S20+S21+S24</f>
        <v>22160</v>
      </c>
      <c r="M5" s="157" t="n">
        <f aca="false">L5/K5</f>
        <v>1007.27272727273</v>
      </c>
      <c r="N5" s="272" t="s">
        <v>447</v>
      </c>
      <c r="O5" s="210" t="s">
        <v>207</v>
      </c>
      <c r="P5" s="211" t="s">
        <v>82</v>
      </c>
      <c r="Q5" s="211" t="s">
        <v>177</v>
      </c>
      <c r="R5" s="212" t="n">
        <v>5</v>
      </c>
      <c r="S5" s="213" t="n">
        <v>750</v>
      </c>
      <c r="V5" s="293" t="s">
        <v>455</v>
      </c>
      <c r="W5" s="63" t="n">
        <v>176</v>
      </c>
      <c r="X5" s="294" t="n">
        <v>1834</v>
      </c>
      <c r="AA5" s="293" t="s">
        <v>455</v>
      </c>
      <c r="AB5" s="63" t="n">
        <f aca="false">W5/2</f>
        <v>88</v>
      </c>
      <c r="AC5" s="294" t="n">
        <f aca="false">X5/2</f>
        <v>917</v>
      </c>
      <c r="AE5" s="293" t="s">
        <v>455</v>
      </c>
      <c r="AF5" s="63" t="n">
        <f aca="false">AB5</f>
        <v>88</v>
      </c>
      <c r="AG5" s="294" t="n">
        <f aca="false">X5/2</f>
        <v>917</v>
      </c>
    </row>
    <row r="6" customFormat="false" ht="15" hidden="false" customHeight="true" outlineLevel="0" collapsed="false">
      <c r="A6" s="211" t="s">
        <v>72</v>
      </c>
      <c r="B6" s="77" t="n">
        <v>1</v>
      </c>
      <c r="C6" s="202" t="s">
        <v>368</v>
      </c>
      <c r="D6" s="295" t="n">
        <f aca="false">SUM(D7,D24,D38,D43,D46)</f>
        <v>28882.91</v>
      </c>
      <c r="E6" s="204"/>
      <c r="F6" s="204"/>
      <c r="G6" s="204"/>
      <c r="H6" s="204"/>
      <c r="I6" s="205"/>
      <c r="J6" s="296" t="s">
        <v>456</v>
      </c>
      <c r="K6" s="296"/>
      <c r="N6" s="272" t="s">
        <v>447</v>
      </c>
      <c r="O6" s="210" t="s">
        <v>172</v>
      </c>
      <c r="P6" s="211" t="s">
        <v>72</v>
      </c>
      <c r="Q6" s="211" t="s">
        <v>177</v>
      </c>
      <c r="R6" s="212" t="n">
        <v>6</v>
      </c>
      <c r="S6" s="213" t="n">
        <v>2000</v>
      </c>
      <c r="V6" s="293" t="s">
        <v>457</v>
      </c>
      <c r="W6" s="63" t="n">
        <v>132</v>
      </c>
      <c r="X6" s="294" t="n">
        <v>1834</v>
      </c>
      <c r="AA6" s="293" t="s">
        <v>457</v>
      </c>
      <c r="AB6" s="63" t="n">
        <v>132</v>
      </c>
      <c r="AC6" s="294" t="n">
        <v>1834</v>
      </c>
      <c r="AE6" s="293" t="s">
        <v>457</v>
      </c>
      <c r="AF6" s="63" t="n">
        <v>0</v>
      </c>
      <c r="AG6" s="294" t="n">
        <v>0</v>
      </c>
    </row>
    <row r="7" customFormat="false" ht="15" hidden="false" customHeight="true" outlineLevel="0" collapsed="false">
      <c r="A7" s="211" t="s">
        <v>458</v>
      </c>
      <c r="B7" s="77" t="n">
        <v>1</v>
      </c>
      <c r="C7" s="199" t="s">
        <v>369</v>
      </c>
      <c r="D7" s="297" t="n">
        <f aca="false">SUM(D8:D23)</f>
        <v>21080.9</v>
      </c>
      <c r="E7" s="201"/>
      <c r="F7" s="201"/>
      <c r="G7" s="201"/>
      <c r="H7" s="201"/>
      <c r="I7" s="207"/>
      <c r="J7" s="298" t="s">
        <v>459</v>
      </c>
      <c r="K7" s="299" t="n">
        <f aca="false">(AC5+AC6+AC9+AC10+D24)/K4</f>
        <v>860.904615384616</v>
      </c>
      <c r="N7" s="272" t="s">
        <v>447</v>
      </c>
      <c r="O7" s="210" t="s">
        <v>172</v>
      </c>
      <c r="P7" s="211" t="s">
        <v>458</v>
      </c>
      <c r="Q7" s="211" t="s">
        <v>195</v>
      </c>
      <c r="R7" s="212" t="n">
        <v>7</v>
      </c>
      <c r="S7" s="213" t="n">
        <v>1900</v>
      </c>
      <c r="V7" s="293" t="s">
        <v>460</v>
      </c>
      <c r="W7" s="63" t="n">
        <v>176</v>
      </c>
      <c r="X7" s="294" t="n">
        <f aca="false">2696+750</f>
        <v>3446</v>
      </c>
      <c r="AA7" s="293" t="s">
        <v>460</v>
      </c>
      <c r="AB7" s="63" t="n">
        <v>0</v>
      </c>
      <c r="AC7" s="294" t="n">
        <f aca="false">0</f>
        <v>0</v>
      </c>
      <c r="AE7" s="293" t="s">
        <v>460</v>
      </c>
      <c r="AF7" s="63" t="n">
        <f aca="false">W7</f>
        <v>176</v>
      </c>
      <c r="AG7" s="294" t="n">
        <f aca="false">X7</f>
        <v>3446</v>
      </c>
    </row>
    <row r="8" customFormat="false" ht="15" hidden="false" customHeight="true" outlineLevel="0" collapsed="false">
      <c r="A8" s="211" t="s">
        <v>75</v>
      </c>
      <c r="B8" s="77" t="n">
        <v>1</v>
      </c>
      <c r="C8" s="189" t="s">
        <v>370</v>
      </c>
      <c r="D8" s="300" t="n">
        <f aca="false">2696+750</f>
        <v>3446</v>
      </c>
      <c r="E8" s="187" t="n">
        <v>20</v>
      </c>
      <c r="F8" s="209"/>
      <c r="G8" s="209"/>
      <c r="H8" s="209"/>
      <c r="I8" s="191"/>
      <c r="J8" s="298" t="s">
        <v>461</v>
      </c>
      <c r="K8" s="299" t="n">
        <f aca="false">(AG5+AG7+D24)/K5</f>
        <v>354.716363636364</v>
      </c>
      <c r="N8" s="272" t="s">
        <v>447</v>
      </c>
      <c r="O8" s="210" t="s">
        <v>172</v>
      </c>
      <c r="P8" s="211" t="s">
        <v>75</v>
      </c>
      <c r="Q8" s="211" t="s">
        <v>180</v>
      </c>
      <c r="R8" s="212" t="n">
        <v>10</v>
      </c>
      <c r="S8" s="213" t="n">
        <v>2500</v>
      </c>
      <c r="V8" s="293" t="s">
        <v>384</v>
      </c>
      <c r="W8" s="63" t="n">
        <v>176</v>
      </c>
      <c r="X8" s="301"/>
      <c r="AA8" s="293" t="s">
        <v>384</v>
      </c>
      <c r="AB8" s="63" t="n">
        <f aca="false">W8/2</f>
        <v>88</v>
      </c>
      <c r="AC8" s="301"/>
      <c r="AE8" s="293" t="s">
        <v>384</v>
      </c>
      <c r="AF8" s="63" t="n">
        <f aca="false">W8/2</f>
        <v>88</v>
      </c>
      <c r="AG8" s="301"/>
    </row>
    <row r="9" customFormat="false" ht="15" hidden="false" customHeight="true" outlineLevel="0" collapsed="false">
      <c r="A9" s="211" t="s">
        <v>182</v>
      </c>
      <c r="B9" s="77" t="n">
        <v>1</v>
      </c>
      <c r="C9" s="189" t="s">
        <v>219</v>
      </c>
      <c r="D9" s="300" t="n">
        <v>1834</v>
      </c>
      <c r="E9" s="187" t="n">
        <v>23</v>
      </c>
      <c r="F9" s="209"/>
      <c r="G9" s="209"/>
      <c r="H9" s="209"/>
      <c r="I9" s="191"/>
      <c r="J9" s="298" t="s">
        <v>462</v>
      </c>
      <c r="K9" s="299" t="n">
        <f aca="false">(D14+D10+D24)/10</f>
        <v>777.476</v>
      </c>
      <c r="N9" s="272" t="s">
        <v>447</v>
      </c>
      <c r="O9" s="210" t="s">
        <v>172</v>
      </c>
      <c r="P9" s="211" t="s">
        <v>182</v>
      </c>
      <c r="Q9" s="211" t="s">
        <v>177</v>
      </c>
      <c r="R9" s="212" t="n">
        <v>12</v>
      </c>
      <c r="S9" s="213" t="n">
        <v>1500</v>
      </c>
      <c r="V9" s="293" t="s">
        <v>463</v>
      </c>
      <c r="W9" s="63" t="n">
        <v>176</v>
      </c>
      <c r="X9" s="302" t="n">
        <v>2500</v>
      </c>
      <c r="AA9" s="293" t="s">
        <v>463</v>
      </c>
      <c r="AB9" s="63" t="n">
        <v>176</v>
      </c>
      <c r="AC9" s="302" t="n">
        <v>2500</v>
      </c>
      <c r="AE9" s="293" t="s">
        <v>463</v>
      </c>
      <c r="AF9" s="63" t="n">
        <v>0</v>
      </c>
      <c r="AG9" s="302" t="n">
        <v>0</v>
      </c>
    </row>
    <row r="10" customFormat="false" ht="15" hidden="false" customHeight="true" outlineLevel="0" collapsed="false">
      <c r="A10" s="211" t="s">
        <v>183</v>
      </c>
      <c r="B10" s="77" t="n">
        <v>1</v>
      </c>
      <c r="C10" s="189" t="s">
        <v>372</v>
      </c>
      <c r="D10" s="300" t="n">
        <v>2500</v>
      </c>
      <c r="E10" s="187" t="n">
        <v>20</v>
      </c>
      <c r="F10" s="209"/>
      <c r="G10" s="209"/>
      <c r="H10" s="209"/>
      <c r="I10" s="191"/>
      <c r="J10" s="303" t="s">
        <v>464</v>
      </c>
      <c r="K10" s="304" t="n">
        <f aca="false">(D14+D10+D15+D24)/4</f>
        <v>2318.69</v>
      </c>
      <c r="N10" s="272" t="s">
        <v>447</v>
      </c>
      <c r="O10" s="210" t="s">
        <v>172</v>
      </c>
      <c r="P10" s="211" t="s">
        <v>183</v>
      </c>
      <c r="Q10" s="211" t="s">
        <v>184</v>
      </c>
      <c r="R10" s="212" t="n">
        <v>16</v>
      </c>
      <c r="S10" s="213" t="n">
        <v>600</v>
      </c>
      <c r="V10" s="305" t="s">
        <v>465</v>
      </c>
      <c r="W10" s="306" t="n">
        <v>176</v>
      </c>
      <c r="X10" s="307" t="n">
        <v>2500</v>
      </c>
      <c r="AA10" s="305" t="s">
        <v>465</v>
      </c>
      <c r="AB10" s="306" t="n">
        <v>176</v>
      </c>
      <c r="AC10" s="307" t="n">
        <v>2500</v>
      </c>
      <c r="AE10" s="305" t="s">
        <v>465</v>
      </c>
      <c r="AF10" s="306" t="n">
        <v>0</v>
      </c>
      <c r="AG10" s="307" t="n">
        <v>0</v>
      </c>
    </row>
    <row r="11" customFormat="false" ht="15" hidden="false" customHeight="true" outlineLevel="0" collapsed="false">
      <c r="A11" s="211" t="s">
        <v>189</v>
      </c>
      <c r="B11" s="77" t="n">
        <v>1</v>
      </c>
      <c r="C11" s="189" t="s">
        <v>373</v>
      </c>
      <c r="D11" s="300" t="n">
        <v>2500</v>
      </c>
      <c r="E11" s="187" t="n">
        <v>13</v>
      </c>
      <c r="F11" s="209"/>
      <c r="G11" s="209"/>
      <c r="H11" s="209"/>
      <c r="I11" s="191"/>
      <c r="N11" s="272" t="s">
        <v>447</v>
      </c>
      <c r="O11" s="210" t="s">
        <v>172</v>
      </c>
      <c r="P11" s="211"/>
      <c r="Q11" s="211"/>
      <c r="R11" s="212"/>
      <c r="S11" s="213"/>
    </row>
    <row r="12" customFormat="false" ht="15" hidden="false" customHeight="true" outlineLevel="0" collapsed="false">
      <c r="A12" s="211" t="s">
        <v>191</v>
      </c>
      <c r="B12" s="77" t="n">
        <v>1</v>
      </c>
      <c r="C12" s="189" t="s">
        <v>374</v>
      </c>
      <c r="D12" s="300" t="n">
        <v>2280.9</v>
      </c>
      <c r="E12" s="187" t="n">
        <v>25</v>
      </c>
      <c r="F12" s="209"/>
      <c r="G12" s="209"/>
      <c r="H12" s="209"/>
      <c r="I12" s="191"/>
      <c r="J12" s="296" t="s">
        <v>466</v>
      </c>
      <c r="K12" s="296"/>
      <c r="N12" s="272" t="s">
        <v>447</v>
      </c>
      <c r="O12" s="210" t="s">
        <v>207</v>
      </c>
      <c r="P12" s="211" t="s">
        <v>467</v>
      </c>
      <c r="Q12" s="211"/>
      <c r="R12" s="212" t="n">
        <v>15</v>
      </c>
      <c r="S12" s="213" t="n">
        <v>1500</v>
      </c>
    </row>
    <row r="13" customFormat="false" ht="15" hidden="false" customHeight="true" outlineLevel="0" collapsed="false">
      <c r="A13" s="211" t="s">
        <v>64</v>
      </c>
      <c r="B13" s="77" t="n">
        <v>1</v>
      </c>
      <c r="C13" s="189" t="s">
        <v>223</v>
      </c>
      <c r="D13" s="300" t="n">
        <v>1500</v>
      </c>
      <c r="E13" s="187" t="n">
        <v>30</v>
      </c>
      <c r="F13" s="209"/>
      <c r="G13" s="209"/>
      <c r="H13" s="209"/>
      <c r="I13" s="191"/>
      <c r="J13" s="298" t="s">
        <v>459</v>
      </c>
      <c r="K13" s="299" t="n">
        <f aca="false">K7+(D58/SUM(K4:K5))</f>
        <v>1788.69604395604</v>
      </c>
      <c r="N13" s="272" t="s">
        <v>447</v>
      </c>
      <c r="O13" s="210" t="s">
        <v>207</v>
      </c>
      <c r="P13" s="211" t="s">
        <v>468</v>
      </c>
      <c r="Q13" s="211" t="s">
        <v>195</v>
      </c>
      <c r="R13" s="212" t="n">
        <v>15</v>
      </c>
      <c r="S13" s="213" t="n">
        <v>1000</v>
      </c>
    </row>
    <row r="14" customFormat="false" ht="15" hidden="false" customHeight="true" outlineLevel="0" collapsed="false">
      <c r="A14" s="211" t="s">
        <v>81</v>
      </c>
      <c r="B14" s="77" t="n">
        <v>1</v>
      </c>
      <c r="C14" s="225" t="s">
        <v>379</v>
      </c>
      <c r="D14" s="300" t="n">
        <v>1834</v>
      </c>
      <c r="E14" s="187" t="n">
        <v>19</v>
      </c>
      <c r="F14" s="209"/>
      <c r="G14" s="209"/>
      <c r="H14" s="209"/>
      <c r="I14" s="191"/>
      <c r="J14" s="298" t="s">
        <v>461</v>
      </c>
      <c r="K14" s="299" t="n">
        <f aca="false">K8+(D58/SUM(K4:K5))</f>
        <v>1282.50779220779</v>
      </c>
      <c r="N14" s="272" t="s">
        <v>447</v>
      </c>
      <c r="O14" s="210" t="s">
        <v>172</v>
      </c>
      <c r="P14" s="211"/>
      <c r="Q14" s="211"/>
      <c r="R14" s="212"/>
      <c r="S14" s="213"/>
    </row>
    <row r="15" customFormat="false" ht="15" hidden="false" customHeight="true" outlineLevel="0" collapsed="false">
      <c r="A15" s="211" t="s">
        <v>68</v>
      </c>
      <c r="B15" s="77" t="n">
        <v>1</v>
      </c>
      <c r="C15" s="189" t="s">
        <v>225</v>
      </c>
      <c r="D15" s="300" t="n">
        <v>1500</v>
      </c>
      <c r="E15" s="187" t="n">
        <v>25</v>
      </c>
      <c r="F15" s="209"/>
      <c r="G15" s="209"/>
      <c r="H15" s="209"/>
      <c r="I15" s="191"/>
      <c r="J15" s="298" t="s">
        <v>469</v>
      </c>
      <c r="K15" s="299" t="n">
        <f aca="false">K9+(D58/SUM(K4:K5))</f>
        <v>1705.26742857143</v>
      </c>
      <c r="N15" s="272" t="s">
        <v>447</v>
      </c>
      <c r="O15" s="210" t="s">
        <v>172</v>
      </c>
      <c r="P15" s="211" t="s">
        <v>189</v>
      </c>
      <c r="Q15" s="211" t="s">
        <v>190</v>
      </c>
      <c r="R15" s="212" t="n">
        <v>25</v>
      </c>
      <c r="S15" s="213" t="n">
        <v>2000</v>
      </c>
    </row>
    <row r="16" customFormat="false" ht="15" hidden="false" customHeight="true" outlineLevel="0" collapsed="false">
      <c r="A16" s="211" t="s">
        <v>470</v>
      </c>
      <c r="B16" s="77" t="n">
        <v>1</v>
      </c>
      <c r="C16" s="189" t="s">
        <v>381</v>
      </c>
      <c r="D16" s="300" t="n">
        <v>282</v>
      </c>
      <c r="E16" s="187" t="n">
        <v>1</v>
      </c>
      <c r="F16" s="209" t="s">
        <v>187</v>
      </c>
      <c r="G16" s="209" t="s">
        <v>175</v>
      </c>
      <c r="H16" s="209" t="s">
        <v>246</v>
      </c>
      <c r="I16" s="191" t="n">
        <v>45962</v>
      </c>
      <c r="J16" s="303" t="s">
        <v>471</v>
      </c>
      <c r="K16" s="304" t="n">
        <f aca="false">K10+(D58/SUM(K4:K5))</f>
        <v>3246.48142857143</v>
      </c>
      <c r="N16" s="272" t="s">
        <v>447</v>
      </c>
      <c r="O16" s="210" t="s">
        <v>172</v>
      </c>
      <c r="P16" s="211" t="s">
        <v>191</v>
      </c>
      <c r="Q16" s="211" t="s">
        <v>192</v>
      </c>
      <c r="R16" s="212" t="n">
        <v>25</v>
      </c>
      <c r="S16" s="213" t="n">
        <v>1350</v>
      </c>
    </row>
    <row r="17" customFormat="false" ht="15" hidden="false" customHeight="true" outlineLevel="0" collapsed="false">
      <c r="A17" s="211" t="s">
        <v>201</v>
      </c>
      <c r="B17" s="77" t="n">
        <v>1</v>
      </c>
      <c r="C17" s="189" t="s">
        <v>375</v>
      </c>
      <c r="D17" s="300" t="n">
        <v>104</v>
      </c>
      <c r="E17" s="187" t="n">
        <v>30</v>
      </c>
      <c r="F17" s="209"/>
      <c r="G17" s="209"/>
      <c r="H17" s="209"/>
      <c r="I17" s="191"/>
      <c r="N17" s="272" t="s">
        <v>447</v>
      </c>
      <c r="O17" s="210" t="s">
        <v>172</v>
      </c>
      <c r="P17" s="211" t="s">
        <v>64</v>
      </c>
      <c r="Q17" s="211" t="s">
        <v>180</v>
      </c>
      <c r="R17" s="212" t="n">
        <v>25</v>
      </c>
      <c r="S17" s="213" t="n">
        <v>1900</v>
      </c>
    </row>
    <row r="18" customFormat="false" ht="15" hidden="false" customHeight="true" outlineLevel="0" collapsed="false">
      <c r="A18" s="211" t="s">
        <v>202</v>
      </c>
      <c r="B18" s="77" t="n">
        <v>1</v>
      </c>
      <c r="C18" s="189" t="s">
        <v>218</v>
      </c>
      <c r="D18" s="300"/>
      <c r="E18" s="187"/>
      <c r="F18" s="209"/>
      <c r="G18" s="209"/>
      <c r="H18" s="209"/>
      <c r="I18" s="191"/>
      <c r="J18" s="42" t="s">
        <v>472</v>
      </c>
      <c r="K18" s="157" t="n">
        <f aca="false">D12+D15+D37+SUM(D25:D28)+SUM(D30:D32)</f>
        <v>5783.5</v>
      </c>
      <c r="N18" s="272" t="s">
        <v>447</v>
      </c>
      <c r="O18" s="308" t="s">
        <v>172</v>
      </c>
      <c r="P18" s="211" t="s">
        <v>194</v>
      </c>
      <c r="Q18" s="211" t="s">
        <v>195</v>
      </c>
      <c r="R18" s="212" t="n">
        <v>30</v>
      </c>
      <c r="S18" s="213" t="n">
        <v>5500</v>
      </c>
    </row>
    <row r="19" customFormat="false" ht="15" hidden="false" customHeight="true" outlineLevel="0" collapsed="false">
      <c r="A19" s="211" t="s">
        <v>203</v>
      </c>
      <c r="B19" s="77" t="n">
        <v>1</v>
      </c>
      <c r="C19" s="189" t="s">
        <v>473</v>
      </c>
      <c r="D19" s="300"/>
      <c r="E19" s="187"/>
      <c r="F19" s="209"/>
      <c r="G19" s="209"/>
      <c r="H19" s="209"/>
      <c r="I19" s="191"/>
      <c r="J19" s="42" t="s">
        <v>474</v>
      </c>
      <c r="K19" s="157" t="n">
        <f aca="false">K18*6</f>
        <v>34701</v>
      </c>
      <c r="N19" s="272" t="s">
        <v>447</v>
      </c>
      <c r="O19" s="308" t="s">
        <v>172</v>
      </c>
      <c r="P19" s="211" t="s">
        <v>81</v>
      </c>
      <c r="Q19" s="211" t="s">
        <v>196</v>
      </c>
      <c r="R19" s="212" t="n">
        <v>25</v>
      </c>
      <c r="S19" s="213" t="n">
        <v>1500</v>
      </c>
    </row>
    <row r="20" customFormat="false" ht="15" hidden="false" customHeight="true" outlineLevel="0" collapsed="false">
      <c r="A20" s="211" t="s">
        <v>205</v>
      </c>
      <c r="B20" s="77" t="n">
        <v>1</v>
      </c>
      <c r="C20" s="189" t="s">
        <v>383</v>
      </c>
      <c r="D20" s="300"/>
      <c r="E20" s="187"/>
      <c r="F20" s="209"/>
      <c r="G20" s="209"/>
      <c r="H20" s="209"/>
      <c r="I20" s="191"/>
      <c r="N20" s="272" t="s">
        <v>447</v>
      </c>
      <c r="O20" s="308" t="s">
        <v>172</v>
      </c>
      <c r="P20" s="211" t="s">
        <v>68</v>
      </c>
      <c r="Q20" s="211" t="s">
        <v>197</v>
      </c>
      <c r="R20" s="212" t="n">
        <v>30</v>
      </c>
      <c r="S20" s="213" t="n">
        <v>1360</v>
      </c>
    </row>
    <row r="21" customFormat="false" ht="15" hidden="false" customHeight="true" outlineLevel="0" collapsed="false">
      <c r="A21" s="211" t="s">
        <v>475</v>
      </c>
      <c r="B21" s="77" t="n">
        <v>1</v>
      </c>
      <c r="C21" s="189" t="s">
        <v>384</v>
      </c>
      <c r="D21" s="208" t="n">
        <f aca="false">3300</f>
        <v>3300</v>
      </c>
      <c r="E21" s="187"/>
      <c r="F21" s="209"/>
      <c r="G21" s="209"/>
      <c r="H21" s="209"/>
      <c r="I21" s="191"/>
      <c r="J21" s="309" t="s">
        <v>476</v>
      </c>
      <c r="K21" s="309"/>
      <c r="N21" s="272" t="s">
        <v>447</v>
      </c>
      <c r="O21" s="210" t="s">
        <v>172</v>
      </c>
      <c r="P21" s="211" t="s">
        <v>470</v>
      </c>
      <c r="Q21" s="211" t="s">
        <v>195</v>
      </c>
      <c r="R21" s="212" t="n">
        <v>30</v>
      </c>
      <c r="S21" s="213" t="n">
        <v>1700</v>
      </c>
    </row>
    <row r="22" customFormat="false" ht="15" hidden="false" customHeight="true" outlineLevel="0" collapsed="false">
      <c r="A22" s="211" t="s">
        <v>477</v>
      </c>
      <c r="B22" s="77" t="n">
        <v>1</v>
      </c>
      <c r="C22" s="189" t="s">
        <v>386</v>
      </c>
      <c r="D22" s="208"/>
      <c r="E22" s="187"/>
      <c r="F22" s="209"/>
      <c r="G22" s="209"/>
      <c r="H22" s="209"/>
      <c r="I22" s="191"/>
      <c r="J22" s="310" t="s">
        <v>478</v>
      </c>
      <c r="K22" s="311" t="n">
        <v>1720</v>
      </c>
      <c r="N22" s="272" t="s">
        <v>447</v>
      </c>
      <c r="O22" s="308" t="s">
        <v>172</v>
      </c>
      <c r="P22" s="211" t="s">
        <v>201</v>
      </c>
      <c r="Q22" s="211" t="s">
        <v>177</v>
      </c>
      <c r="R22" s="212" t="n">
        <v>28</v>
      </c>
      <c r="S22" s="213" t="n">
        <v>750</v>
      </c>
    </row>
    <row r="23" customFormat="false" ht="41.25" hidden="false" customHeight="true" outlineLevel="0" collapsed="false">
      <c r="A23" s="211" t="s">
        <v>479</v>
      </c>
      <c r="B23" s="77" t="n">
        <v>1</v>
      </c>
      <c r="C23" s="189" t="s">
        <v>387</v>
      </c>
      <c r="D23" s="208"/>
      <c r="E23" s="187"/>
      <c r="F23" s="209"/>
      <c r="G23" s="209"/>
      <c r="H23" s="209"/>
      <c r="I23" s="191"/>
      <c r="J23" s="312" t="s">
        <v>480</v>
      </c>
      <c r="K23" s="310" t="n">
        <v>4000</v>
      </c>
      <c r="N23" s="272" t="s">
        <v>447</v>
      </c>
      <c r="O23" s="308" t="s">
        <v>172</v>
      </c>
      <c r="P23" s="211" t="s">
        <v>202</v>
      </c>
      <c r="Q23" s="211" t="s">
        <v>177</v>
      </c>
      <c r="R23" s="212" t="n">
        <v>30</v>
      </c>
      <c r="S23" s="213" t="n">
        <v>1250</v>
      </c>
    </row>
    <row r="24" customFormat="false" ht="15" hidden="false" customHeight="true" outlineLevel="0" collapsed="false">
      <c r="A24" s="211" t="s">
        <v>481</v>
      </c>
      <c r="B24" s="77" t="n">
        <v>1</v>
      </c>
      <c r="C24" s="243" t="s">
        <v>388</v>
      </c>
      <c r="D24" s="313" t="n">
        <f aca="false">SUM(D25:D37)</f>
        <v>3440.76</v>
      </c>
      <c r="E24" s="237" t="n">
        <v>28</v>
      </c>
      <c r="F24" s="245"/>
      <c r="G24" s="245"/>
      <c r="H24" s="245"/>
      <c r="I24" s="242"/>
      <c r="J24" s="310" t="s">
        <v>461</v>
      </c>
      <c r="K24" s="314" t="n">
        <v>1300</v>
      </c>
      <c r="N24" s="272" t="s">
        <v>447</v>
      </c>
      <c r="O24" s="308" t="s">
        <v>172</v>
      </c>
      <c r="P24" s="211" t="s">
        <v>203</v>
      </c>
      <c r="Q24" s="211" t="s">
        <v>204</v>
      </c>
      <c r="R24" s="212" t="n">
        <v>30</v>
      </c>
      <c r="S24" s="213" t="n">
        <v>2000</v>
      </c>
    </row>
    <row r="25" customFormat="false" ht="15" hidden="false" customHeight="true" outlineLevel="0" collapsed="false">
      <c r="A25" s="211" t="s">
        <v>482</v>
      </c>
      <c r="B25" s="77" t="n">
        <v>1</v>
      </c>
      <c r="C25" s="189" t="s">
        <v>389</v>
      </c>
      <c r="D25" s="300" t="n">
        <f aca="false">110.38+38.21</f>
        <v>148.59</v>
      </c>
      <c r="E25" s="187"/>
      <c r="F25" s="209"/>
      <c r="G25" s="209"/>
      <c r="H25" s="209"/>
      <c r="I25" s="191"/>
      <c r="J25" s="310" t="s">
        <v>483</v>
      </c>
      <c r="K25" s="310" t="n">
        <v>2000</v>
      </c>
      <c r="N25" s="272" t="s">
        <v>447</v>
      </c>
      <c r="O25" s="308" t="s">
        <v>172</v>
      </c>
      <c r="P25" s="211" t="s">
        <v>205</v>
      </c>
      <c r="Q25" s="211" t="s">
        <v>197</v>
      </c>
      <c r="R25" s="212" t="n">
        <v>30</v>
      </c>
      <c r="S25" s="213" t="n">
        <v>600</v>
      </c>
    </row>
    <row r="26" customFormat="false" ht="15" hidden="false" customHeight="true" outlineLevel="0" collapsed="false">
      <c r="A26" s="211" t="s">
        <v>484</v>
      </c>
      <c r="B26" s="77" t="n">
        <v>1</v>
      </c>
      <c r="C26" s="189" t="s">
        <v>390</v>
      </c>
      <c r="D26" s="300" t="n">
        <v>100</v>
      </c>
      <c r="E26" s="187"/>
      <c r="F26" s="209"/>
      <c r="G26" s="209"/>
      <c r="H26" s="209"/>
      <c r="I26" s="191"/>
      <c r="J26" s="310" t="s">
        <v>485</v>
      </c>
      <c r="K26" s="310" t="n">
        <v>2500</v>
      </c>
      <c r="N26" s="315" t="s">
        <v>444</v>
      </c>
      <c r="O26" s="316"/>
      <c r="P26" s="317"/>
      <c r="Q26" s="317"/>
      <c r="R26" s="317"/>
      <c r="S26" s="318" t="n">
        <f aca="false">SUM(S3:S25)</f>
        <v>33660</v>
      </c>
    </row>
    <row r="27" customFormat="false" ht="15" hidden="false" customHeight="true" outlineLevel="0" collapsed="false">
      <c r="A27" s="211" t="s">
        <v>486</v>
      </c>
      <c r="B27" s="77" t="n">
        <v>1</v>
      </c>
      <c r="C27" s="189" t="s">
        <v>230</v>
      </c>
      <c r="D27" s="300" t="n">
        <v>14.99</v>
      </c>
      <c r="E27" s="187"/>
      <c r="F27" s="209"/>
      <c r="G27" s="209"/>
      <c r="H27" s="209"/>
      <c r="I27" s="191"/>
      <c r="J27" s="310" t="s">
        <v>487</v>
      </c>
      <c r="K27" s="310" t="n">
        <v>500</v>
      </c>
      <c r="P27" s="186"/>
      <c r="Q27" s="186"/>
    </row>
    <row r="28" customFormat="false" ht="15" hidden="false" customHeight="true" outlineLevel="0" collapsed="false">
      <c r="A28" s="211" t="s">
        <v>488</v>
      </c>
      <c r="B28" s="77" t="n">
        <v>1</v>
      </c>
      <c r="C28" s="189" t="s">
        <v>391</v>
      </c>
      <c r="D28" s="300" t="n">
        <v>214.82</v>
      </c>
      <c r="E28" s="187"/>
      <c r="F28" s="209"/>
      <c r="G28" s="209"/>
      <c r="H28" s="209"/>
      <c r="I28" s="191"/>
      <c r="J28" s="310" t="s">
        <v>489</v>
      </c>
      <c r="K28" s="310" t="n">
        <v>700</v>
      </c>
      <c r="P28" s="233"/>
      <c r="Q28" s="197"/>
    </row>
    <row r="29" customFormat="false" ht="15" hidden="false" customHeight="true" outlineLevel="0" collapsed="false">
      <c r="A29" s="211" t="s">
        <v>490</v>
      </c>
      <c r="B29" s="77" t="n">
        <v>1</v>
      </c>
      <c r="C29" s="189" t="s">
        <v>392</v>
      </c>
      <c r="D29" s="300" t="n">
        <v>275</v>
      </c>
      <c r="E29" s="187"/>
      <c r="F29" s="209"/>
      <c r="G29" s="209"/>
      <c r="H29" s="209"/>
      <c r="I29" s="191"/>
      <c r="J29" s="310" t="s">
        <v>491</v>
      </c>
      <c r="K29" s="310" t="n">
        <v>1500</v>
      </c>
      <c r="P29" s="233"/>
      <c r="Q29" s="197"/>
    </row>
    <row r="30" customFormat="false" ht="15" hidden="false" customHeight="true" outlineLevel="0" collapsed="false">
      <c r="A30" s="211"/>
      <c r="C30" s="189" t="s">
        <v>393</v>
      </c>
      <c r="D30" s="300" t="n">
        <f aca="false">19.9+53.9</f>
        <v>73.8</v>
      </c>
      <c r="E30" s="187"/>
      <c r="F30" s="209"/>
      <c r="G30" s="209"/>
      <c r="H30" s="209"/>
      <c r="I30" s="191"/>
      <c r="J30" s="310" t="s">
        <v>492</v>
      </c>
      <c r="K30" s="310" t="n">
        <v>1200</v>
      </c>
      <c r="P30" s="233"/>
      <c r="Q30" s="197"/>
    </row>
    <row r="31" customFormat="false" ht="15" hidden="false" customHeight="true" outlineLevel="0" collapsed="false">
      <c r="C31" s="189" t="s">
        <v>394</v>
      </c>
      <c r="D31" s="300" t="n">
        <v>59</v>
      </c>
      <c r="E31" s="187"/>
      <c r="F31" s="209"/>
      <c r="G31" s="209"/>
      <c r="H31" s="209"/>
      <c r="I31" s="191"/>
      <c r="J31" s="310" t="s">
        <v>493</v>
      </c>
      <c r="K31" s="310" t="n">
        <v>2000</v>
      </c>
      <c r="P31" s="233"/>
      <c r="Q31" s="197"/>
    </row>
    <row r="32" customFormat="false" ht="15" hidden="false" customHeight="true" outlineLevel="0" collapsed="false">
      <c r="C32" s="189" t="s">
        <v>395</v>
      </c>
      <c r="D32" s="300" t="n">
        <v>142.24</v>
      </c>
      <c r="E32" s="187"/>
      <c r="F32" s="209"/>
      <c r="G32" s="209"/>
      <c r="H32" s="209"/>
      <c r="I32" s="191"/>
      <c r="J32" s="310" t="s">
        <v>494</v>
      </c>
      <c r="K32" s="310" t="n">
        <v>250</v>
      </c>
      <c r="P32" s="233"/>
      <c r="Q32" s="197"/>
    </row>
    <row r="33" customFormat="false" ht="15" hidden="false" customHeight="true" outlineLevel="0" collapsed="false">
      <c r="C33" s="189" t="s">
        <v>396</v>
      </c>
      <c r="D33" s="300" t="n">
        <v>1000</v>
      </c>
      <c r="E33" s="187"/>
      <c r="F33" s="209"/>
      <c r="G33" s="209"/>
      <c r="H33" s="209"/>
      <c r="I33" s="191"/>
      <c r="J33" s="310" t="s">
        <v>495</v>
      </c>
      <c r="K33" s="310" t="n">
        <v>250</v>
      </c>
      <c r="P33" s="233"/>
      <c r="Q33" s="197"/>
    </row>
    <row r="34" customFormat="false" ht="15" hidden="false" customHeight="true" outlineLevel="0" collapsed="false">
      <c r="C34" s="189" t="s">
        <v>397</v>
      </c>
      <c r="D34" s="300" t="n">
        <v>44.99</v>
      </c>
      <c r="E34" s="187"/>
      <c r="F34" s="209"/>
      <c r="G34" s="209"/>
      <c r="H34" s="209"/>
      <c r="I34" s="191"/>
      <c r="J34" s="310" t="s">
        <v>496</v>
      </c>
      <c r="K34" s="310" t="n">
        <v>4000</v>
      </c>
      <c r="P34" s="233"/>
      <c r="Q34" s="197"/>
    </row>
    <row r="35" customFormat="false" ht="15" hidden="false" customHeight="true" outlineLevel="0" collapsed="false">
      <c r="C35" s="189" t="s">
        <v>398</v>
      </c>
      <c r="D35" s="300" t="n">
        <v>118.17</v>
      </c>
      <c r="E35" s="187"/>
      <c r="F35" s="209"/>
      <c r="G35" s="209"/>
      <c r="H35" s="209"/>
      <c r="I35" s="191"/>
      <c r="J35" s="310" t="s">
        <v>497</v>
      </c>
      <c r="K35" s="310" t="n">
        <v>5900</v>
      </c>
    </row>
    <row r="36" customFormat="false" ht="15" hidden="false" customHeight="true" outlineLevel="0" collapsed="false">
      <c r="C36" s="189" t="s">
        <v>399</v>
      </c>
      <c r="D36" s="300"/>
      <c r="E36" s="187"/>
      <c r="F36" s="209"/>
      <c r="G36" s="209"/>
      <c r="H36" s="209"/>
      <c r="I36" s="191"/>
    </row>
    <row r="37" customFormat="false" ht="15" hidden="false" customHeight="true" outlineLevel="0" collapsed="false">
      <c r="C37" s="189" t="s">
        <v>400</v>
      </c>
      <c r="D37" s="300" t="n">
        <v>1249.16</v>
      </c>
      <c r="E37" s="187" t="n">
        <v>5</v>
      </c>
      <c r="F37" s="209" t="s">
        <v>204</v>
      </c>
      <c r="G37" s="209" t="s">
        <v>175</v>
      </c>
      <c r="H37" s="209" t="s">
        <v>246</v>
      </c>
      <c r="I37" s="191" t="n">
        <v>45931</v>
      </c>
    </row>
    <row r="38" customFormat="false" ht="15" hidden="false" customHeight="true" outlineLevel="0" collapsed="false">
      <c r="C38" s="199" t="s">
        <v>401</v>
      </c>
      <c r="D38" s="313" t="n">
        <f aca="false">SUM(D39:D42)</f>
        <v>3500</v>
      </c>
      <c r="E38" s="237"/>
      <c r="F38" s="245"/>
      <c r="G38" s="245"/>
      <c r="H38" s="245"/>
      <c r="I38" s="242"/>
    </row>
    <row r="39" customFormat="false" ht="15" hidden="false" customHeight="true" outlineLevel="0" collapsed="false">
      <c r="C39" s="189"/>
      <c r="D39" s="300"/>
      <c r="E39" s="187"/>
      <c r="F39" s="209"/>
      <c r="G39" s="209"/>
      <c r="H39" s="209"/>
      <c r="I39" s="191"/>
    </row>
    <row r="40" customFormat="false" ht="15" hidden="false" customHeight="true" outlineLevel="0" collapsed="false">
      <c r="C40" s="189" t="s">
        <v>402</v>
      </c>
      <c r="D40" s="300"/>
      <c r="E40" s="187"/>
      <c r="F40" s="209"/>
      <c r="G40" s="209"/>
      <c r="H40" s="209"/>
      <c r="I40" s="191"/>
    </row>
    <row r="41" customFormat="false" ht="15" hidden="false" customHeight="true" outlineLevel="0" collapsed="false">
      <c r="C41" s="189" t="s">
        <v>240</v>
      </c>
      <c r="D41" s="300" t="n">
        <v>1000</v>
      </c>
      <c r="E41" s="187"/>
      <c r="F41" s="209"/>
      <c r="G41" s="209"/>
      <c r="H41" s="209"/>
      <c r="I41" s="191"/>
    </row>
    <row r="42" customFormat="false" ht="15" hidden="false" customHeight="true" outlineLevel="0" collapsed="false">
      <c r="C42" s="189" t="s">
        <v>403</v>
      </c>
      <c r="D42" s="300" t="n">
        <v>2500</v>
      </c>
      <c r="E42" s="187"/>
      <c r="F42" s="209"/>
      <c r="G42" s="209"/>
      <c r="H42" s="209"/>
      <c r="I42" s="191"/>
    </row>
    <row r="43" customFormat="false" ht="15" hidden="false" customHeight="true" outlineLevel="0" collapsed="false">
      <c r="C43" s="199" t="s">
        <v>404</v>
      </c>
      <c r="D43" s="313" t="n">
        <f aca="false">SUM(D44:D45)</f>
        <v>565.75</v>
      </c>
      <c r="E43" s="237"/>
      <c r="F43" s="245"/>
      <c r="G43" s="245"/>
      <c r="H43" s="245"/>
      <c r="I43" s="242"/>
    </row>
    <row r="44" customFormat="false" ht="15" hidden="false" customHeight="true" outlineLevel="0" collapsed="false">
      <c r="C44" s="189" t="s">
        <v>242</v>
      </c>
      <c r="D44" s="300" t="n">
        <v>220.75</v>
      </c>
      <c r="E44" s="187" t="n">
        <v>25</v>
      </c>
      <c r="F44" s="209" t="s">
        <v>187</v>
      </c>
      <c r="G44" s="209"/>
      <c r="H44" s="209" t="s">
        <v>434</v>
      </c>
      <c r="I44" s="191"/>
    </row>
    <row r="45" customFormat="false" ht="15" hidden="false" customHeight="true" outlineLevel="0" collapsed="false">
      <c r="C45" s="248" t="s">
        <v>405</v>
      </c>
      <c r="D45" s="300" t="n">
        <v>345</v>
      </c>
      <c r="E45" s="187" t="n">
        <v>25</v>
      </c>
      <c r="F45" s="209" t="s">
        <v>187</v>
      </c>
      <c r="G45" s="209"/>
      <c r="H45" s="209" t="s">
        <v>428</v>
      </c>
      <c r="I45" s="191"/>
    </row>
    <row r="46" customFormat="false" ht="15" hidden="false" customHeight="true" outlineLevel="0" collapsed="false">
      <c r="C46" s="199" t="s">
        <v>150</v>
      </c>
      <c r="D46" s="313" t="n">
        <f aca="false">SUM(D47)</f>
        <v>295.5</v>
      </c>
      <c r="E46" s="237"/>
      <c r="F46" s="245"/>
      <c r="G46" s="245"/>
      <c r="H46" s="245"/>
      <c r="I46" s="242"/>
    </row>
    <row r="47" customFormat="false" ht="15" hidden="false" customHeight="true" outlineLevel="0" collapsed="false">
      <c r="C47" s="189" t="s">
        <v>406</v>
      </c>
      <c r="D47" s="300" t="n">
        <v>295.5</v>
      </c>
      <c r="E47" s="187" t="n">
        <v>25</v>
      </c>
      <c r="F47" s="209" t="s">
        <v>187</v>
      </c>
      <c r="G47" s="209"/>
      <c r="H47" s="209" t="s">
        <v>434</v>
      </c>
      <c r="I47" s="191"/>
    </row>
    <row r="48" customFormat="false" ht="15" hidden="false" customHeight="true" outlineLevel="0" collapsed="false">
      <c r="C48" s="202" t="s">
        <v>408</v>
      </c>
      <c r="D48" s="319" t="n">
        <f aca="false">SUM(D49:D56)</f>
        <v>3589.79</v>
      </c>
      <c r="E48" s="250"/>
      <c r="F48" s="251"/>
      <c r="G48" s="251"/>
      <c r="H48" s="251"/>
      <c r="I48" s="252"/>
    </row>
    <row r="49" customFormat="false" ht="15" hidden="false" customHeight="true" outlineLevel="0" collapsed="false">
      <c r="C49" s="189" t="s">
        <v>275</v>
      </c>
      <c r="D49" s="300" t="n">
        <v>1925.41</v>
      </c>
      <c r="E49" s="187" t="n">
        <v>5</v>
      </c>
      <c r="F49" s="209" t="s">
        <v>204</v>
      </c>
      <c r="G49" s="209" t="s">
        <v>175</v>
      </c>
      <c r="H49" s="209" t="s">
        <v>246</v>
      </c>
      <c r="I49" s="191" t="n">
        <v>45931</v>
      </c>
    </row>
    <row r="50" customFormat="false" ht="15" hidden="false" customHeight="true" outlineLevel="0" collapsed="false">
      <c r="C50" s="189" t="s">
        <v>409</v>
      </c>
      <c r="D50" s="300"/>
      <c r="E50" s="187"/>
      <c r="F50" s="209"/>
      <c r="G50" s="209"/>
      <c r="H50" s="209"/>
      <c r="I50" s="191"/>
    </row>
    <row r="51" customFormat="false" ht="15" hidden="false" customHeight="true" outlineLevel="0" collapsed="false">
      <c r="C51" s="189" t="s">
        <v>276</v>
      </c>
      <c r="D51" s="300" t="n">
        <v>80</v>
      </c>
      <c r="E51" s="187"/>
      <c r="F51" s="209"/>
      <c r="G51" s="209"/>
      <c r="H51" s="209"/>
      <c r="I51" s="191"/>
    </row>
    <row r="52" customFormat="false" ht="15" hidden="false" customHeight="true" outlineLevel="0" collapsed="false">
      <c r="C52" s="189" t="s">
        <v>410</v>
      </c>
      <c r="D52" s="300" t="n">
        <v>85.25</v>
      </c>
      <c r="E52" s="187" t="n">
        <v>25</v>
      </c>
      <c r="F52" s="209"/>
      <c r="G52" s="209"/>
      <c r="H52" s="209"/>
      <c r="I52" s="191"/>
    </row>
    <row r="53" customFormat="false" ht="15" hidden="false" customHeight="true" outlineLevel="0" collapsed="false">
      <c r="C53" s="189" t="s">
        <v>278</v>
      </c>
      <c r="D53" s="300" t="n">
        <v>209.13</v>
      </c>
      <c r="E53" s="191" t="s">
        <v>250</v>
      </c>
      <c r="F53" s="209"/>
      <c r="G53" s="209"/>
      <c r="H53" s="209"/>
      <c r="I53" s="191"/>
    </row>
    <row r="54" customFormat="false" ht="15" hidden="false" customHeight="true" outlineLevel="0" collapsed="false">
      <c r="C54" s="189" t="s">
        <v>411</v>
      </c>
      <c r="D54" s="300" t="n">
        <v>200</v>
      </c>
      <c r="E54" s="187" t="n">
        <v>25</v>
      </c>
      <c r="F54" s="209"/>
      <c r="G54" s="209"/>
      <c r="H54" s="209"/>
      <c r="I54" s="191"/>
    </row>
    <row r="55" customFormat="false" ht="15" hidden="false" customHeight="true" outlineLevel="0" collapsed="false">
      <c r="C55" s="189" t="s">
        <v>412</v>
      </c>
      <c r="D55" s="300" t="n">
        <v>900</v>
      </c>
      <c r="E55" s="187" t="n">
        <v>20</v>
      </c>
      <c r="F55" s="209"/>
      <c r="G55" s="209"/>
      <c r="H55" s="209"/>
      <c r="I55" s="191"/>
    </row>
    <row r="56" customFormat="false" ht="15" hidden="false" customHeight="true" outlineLevel="0" collapsed="false">
      <c r="C56" s="253" t="s">
        <v>27</v>
      </c>
      <c r="D56" s="313" t="n">
        <f aca="false">D57</f>
        <v>190</v>
      </c>
      <c r="E56" s="237"/>
      <c r="F56" s="237"/>
      <c r="G56" s="237"/>
      <c r="H56" s="237"/>
      <c r="I56" s="239"/>
    </row>
    <row r="57" customFormat="false" ht="15" hidden="false" customHeight="true" outlineLevel="0" collapsed="false">
      <c r="C57" s="156" t="s">
        <v>413</v>
      </c>
      <c r="D57" s="138" t="n">
        <v>190</v>
      </c>
      <c r="E57" s="255" t="n">
        <v>5</v>
      </c>
      <c r="F57" s="209" t="s">
        <v>204</v>
      </c>
      <c r="G57" s="209" t="s">
        <v>175</v>
      </c>
      <c r="H57" s="209" t="s">
        <v>246</v>
      </c>
      <c r="I57" s="191" t="n">
        <v>45962</v>
      </c>
    </row>
    <row r="58" customFormat="false" ht="15" hidden="false" customHeight="true" outlineLevel="0" collapsed="false">
      <c r="C58" s="256" t="s">
        <v>414</v>
      </c>
      <c r="D58" s="320" t="n">
        <f aca="false">SUM(D7,D24,D38,D43,D46,D48)</f>
        <v>32472.7</v>
      </c>
      <c r="E58" s="258"/>
      <c r="F58" s="258"/>
      <c r="G58" s="258"/>
      <c r="H58" s="258"/>
      <c r="I58" s="258"/>
    </row>
    <row r="59" customFormat="false" ht="15" hidden="false" customHeight="true" outlineLevel="0" collapsed="false">
      <c r="C59" s="256" t="s">
        <v>415</v>
      </c>
      <c r="D59" s="321" t="n">
        <f aca="false">'Precificação PROJETADA'!T61</f>
        <v>62789</v>
      </c>
      <c r="E59" s="261"/>
      <c r="F59" s="261"/>
      <c r="G59" s="261"/>
      <c r="H59" s="261"/>
      <c r="I59" s="261"/>
    </row>
    <row r="60" customFormat="false" ht="15" hidden="false" customHeight="true" outlineLevel="0" collapsed="false">
      <c r="C60" s="262" t="s">
        <v>416</v>
      </c>
      <c r="D60" s="322" t="n">
        <f aca="false">D59-D58</f>
        <v>30316.3</v>
      </c>
      <c r="E60" s="264"/>
      <c r="F60" s="264"/>
      <c r="G60" s="264"/>
      <c r="H60" s="264"/>
      <c r="I60" s="264"/>
    </row>
  </sheetData>
  <mergeCells count="4">
    <mergeCell ref="J3:K3"/>
    <mergeCell ref="J6:K6"/>
    <mergeCell ref="J12:K12"/>
    <mergeCell ref="J21:K21"/>
  </mergeCells>
  <dataValidations count="1">
    <dataValidation allowBlank="true" errorStyle="stop" operator="between" showDropDown="false" showErrorMessage="true" showInputMessage="true" sqref="F8:I57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D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63" width="19.57"/>
    <col collapsed="false" customWidth="true" hidden="false" outlineLevel="0" max="2" min="2" style="63" width="9.14"/>
    <col collapsed="false" customWidth="true" hidden="false" outlineLevel="0" max="3" min="3" style="63" width="34.42"/>
    <col collapsed="false" customWidth="true" hidden="false" outlineLevel="0" max="11" min="4" style="63" width="13.42"/>
    <col collapsed="false" customWidth="true" hidden="false" outlineLevel="0" max="12" min="12" style="63" width="14.57"/>
    <col collapsed="false" customWidth="true" hidden="false" outlineLevel="0" max="17" min="13" style="63" width="14.42"/>
    <col collapsed="false" customWidth="true" hidden="false" outlineLevel="0" max="19" min="18" style="63" width="9.14"/>
    <col collapsed="false" customWidth="true" hidden="false" outlineLevel="0" max="20" min="20" style="63" width="13.29"/>
    <col collapsed="false" customWidth="true" hidden="false" outlineLevel="0" max="21" min="21" style="63" width="14"/>
    <col collapsed="false" customWidth="true" hidden="false" outlineLevel="0" max="23" min="22" style="63" width="9.14"/>
    <col collapsed="false" customWidth="true" hidden="false" outlineLevel="0" max="24" min="24" style="63" width="30.14"/>
    <col collapsed="false" customWidth="true" hidden="false" outlineLevel="0" max="25" min="25" style="63" width="13.15"/>
    <col collapsed="false" customWidth="true" hidden="false" outlineLevel="0" max="26" min="26" style="63" width="9.14"/>
    <col collapsed="false" customWidth="true" hidden="false" outlineLevel="0" max="27" min="27" style="63" width="14.42"/>
    <col collapsed="false" customWidth="true" hidden="false" outlineLevel="0" max="29" min="28" style="63" width="13.15"/>
    <col collapsed="false" customWidth="true" hidden="false" outlineLevel="0" max="30" min="30" style="63" width="15.57"/>
  </cols>
  <sheetData>
    <row r="2" customFormat="false" ht="15" hidden="false" customHeight="true" outlineLevel="0" collapsed="false">
      <c r="C2" s="180" t="s">
        <v>327</v>
      </c>
      <c r="D2" s="180" t="s">
        <v>344</v>
      </c>
      <c r="E2" s="180" t="s">
        <v>345</v>
      </c>
      <c r="F2" s="181" t="s">
        <v>346</v>
      </c>
      <c r="G2" s="181" t="s">
        <v>347</v>
      </c>
      <c r="H2" s="181" t="s">
        <v>348</v>
      </c>
      <c r="I2" s="180" t="s">
        <v>349</v>
      </c>
    </row>
    <row r="3" customFormat="false" ht="28.5" hidden="false" customHeight="true" outlineLevel="0" collapsed="false">
      <c r="A3" s="211" t="s">
        <v>83</v>
      </c>
      <c r="B3" s="77" t="n">
        <v>1</v>
      </c>
      <c r="C3" s="183" t="s">
        <v>366</v>
      </c>
      <c r="D3" s="183"/>
      <c r="E3" s="183"/>
      <c r="F3" s="184"/>
      <c r="G3" s="184"/>
      <c r="H3" s="184"/>
      <c r="I3" s="183"/>
      <c r="J3" s="288" t="s">
        <v>446</v>
      </c>
      <c r="K3" s="288"/>
      <c r="O3" s="272" t="s">
        <v>447</v>
      </c>
      <c r="P3" s="210" t="s">
        <v>172</v>
      </c>
      <c r="Q3" s="211" t="s">
        <v>83</v>
      </c>
      <c r="R3" s="211" t="s">
        <v>173</v>
      </c>
      <c r="S3" s="212" t="n">
        <v>5</v>
      </c>
      <c r="T3" s="213" t="n">
        <v>800</v>
      </c>
      <c r="X3" s="180" t="s">
        <v>327</v>
      </c>
      <c r="Y3" s="180" t="s">
        <v>344</v>
      </c>
      <c r="Z3" s="180" t="s">
        <v>345</v>
      </c>
      <c r="AA3" s="181" t="s">
        <v>346</v>
      </c>
      <c r="AB3" s="181" t="s">
        <v>347</v>
      </c>
      <c r="AC3" s="181" t="s">
        <v>348</v>
      </c>
      <c r="AD3" s="180" t="s">
        <v>349</v>
      </c>
    </row>
    <row r="4" customFormat="false" ht="15" hidden="false" customHeight="true" outlineLevel="0" collapsed="false">
      <c r="A4" s="211" t="s">
        <v>176</v>
      </c>
      <c r="B4" s="77" t="n">
        <v>1</v>
      </c>
      <c r="C4" s="181"/>
      <c r="D4" s="195" t="s">
        <v>47</v>
      </c>
      <c r="E4" s="184"/>
      <c r="F4" s="184"/>
      <c r="G4" s="184"/>
      <c r="H4" s="184"/>
      <c r="I4" s="289"/>
      <c r="J4" s="42" t="s">
        <v>448</v>
      </c>
      <c r="K4" s="63" t="n">
        <v>30</v>
      </c>
      <c r="L4" s="63" t="n">
        <f aca="false">SUM(B3:B49)</f>
        <v>47</v>
      </c>
      <c r="O4" s="272" t="s">
        <v>447</v>
      </c>
      <c r="P4" s="210" t="s">
        <v>207</v>
      </c>
      <c r="Q4" s="211" t="s">
        <v>176</v>
      </c>
      <c r="R4" s="211" t="s">
        <v>177</v>
      </c>
      <c r="S4" s="212" t="n">
        <v>5</v>
      </c>
      <c r="T4" s="213" t="n">
        <v>1200</v>
      </c>
      <c r="U4" s="63" t="n">
        <v>1000</v>
      </c>
      <c r="X4" s="183" t="s">
        <v>366</v>
      </c>
      <c r="Y4" s="183"/>
      <c r="Z4" s="183"/>
      <c r="AA4" s="184"/>
      <c r="AB4" s="184"/>
      <c r="AC4" s="184"/>
      <c r="AD4" s="183"/>
    </row>
    <row r="5" customFormat="false" ht="15" hidden="false" customHeight="true" outlineLevel="0" collapsed="false">
      <c r="A5" s="211" t="s">
        <v>82</v>
      </c>
      <c r="B5" s="77" t="n">
        <v>1</v>
      </c>
      <c r="C5" s="199"/>
      <c r="D5" s="201" t="s">
        <v>90</v>
      </c>
      <c r="E5" s="201" t="s">
        <v>367</v>
      </c>
      <c r="F5" s="201" t="s">
        <v>91</v>
      </c>
      <c r="G5" s="201" t="s">
        <v>92</v>
      </c>
      <c r="H5" s="201" t="s">
        <v>101</v>
      </c>
      <c r="I5" s="201" t="s">
        <v>94</v>
      </c>
      <c r="J5" s="63" t="s">
        <v>454</v>
      </c>
      <c r="K5" s="63" t="n">
        <v>25</v>
      </c>
      <c r="O5" s="272" t="s">
        <v>447</v>
      </c>
      <c r="P5" s="210" t="s">
        <v>207</v>
      </c>
      <c r="Q5" s="211" t="s">
        <v>82</v>
      </c>
      <c r="R5" s="211" t="s">
        <v>177</v>
      </c>
      <c r="S5" s="212" t="n">
        <v>5</v>
      </c>
      <c r="T5" s="213" t="n">
        <v>750</v>
      </c>
      <c r="X5" s="181"/>
      <c r="Y5" s="195" t="s">
        <v>47</v>
      </c>
      <c r="Z5" s="184"/>
      <c r="AA5" s="184"/>
      <c r="AB5" s="184"/>
      <c r="AC5" s="184"/>
      <c r="AD5" s="289"/>
    </row>
    <row r="6" customFormat="false" ht="15" hidden="false" customHeight="true" outlineLevel="0" collapsed="false">
      <c r="A6" s="211" t="s">
        <v>72</v>
      </c>
      <c r="B6" s="77" t="n">
        <v>1</v>
      </c>
      <c r="C6" s="202" t="s">
        <v>368</v>
      </c>
      <c r="D6" s="295" t="n">
        <f aca="false">SUM(D7,D24,D38,D43,D46)</f>
        <v>49901.01</v>
      </c>
      <c r="E6" s="204"/>
      <c r="F6" s="204"/>
      <c r="G6" s="204"/>
      <c r="H6" s="204"/>
      <c r="I6" s="205"/>
      <c r="J6" s="296" t="s">
        <v>498</v>
      </c>
      <c r="K6" s="296"/>
      <c r="O6" s="272" t="s">
        <v>447</v>
      </c>
      <c r="P6" s="210" t="s">
        <v>172</v>
      </c>
      <c r="Q6" s="211" t="s">
        <v>72</v>
      </c>
      <c r="R6" s="211" t="s">
        <v>177</v>
      </c>
      <c r="S6" s="212" t="n">
        <v>6</v>
      </c>
      <c r="T6" s="213" t="n">
        <v>2000</v>
      </c>
      <c r="X6" s="199"/>
      <c r="Y6" s="201" t="s">
        <v>90</v>
      </c>
      <c r="Z6" s="201" t="s">
        <v>367</v>
      </c>
      <c r="AA6" s="201" t="s">
        <v>91</v>
      </c>
      <c r="AB6" s="201" t="s">
        <v>92</v>
      </c>
      <c r="AC6" s="201" t="s">
        <v>101</v>
      </c>
      <c r="AD6" s="201" t="s">
        <v>94</v>
      </c>
    </row>
    <row r="7" customFormat="false" ht="27.75" hidden="false" customHeight="true" outlineLevel="0" collapsed="false">
      <c r="A7" s="211" t="s">
        <v>458</v>
      </c>
      <c r="B7" s="77" t="n">
        <v>1</v>
      </c>
      <c r="C7" s="199" t="s">
        <v>369</v>
      </c>
      <c r="D7" s="297" t="n">
        <f aca="false">SUM(D8:D23)</f>
        <v>36799</v>
      </c>
      <c r="E7" s="201"/>
      <c r="F7" s="201"/>
      <c r="G7" s="201"/>
      <c r="H7" s="201"/>
      <c r="I7" s="207"/>
      <c r="J7" s="298" t="s">
        <v>459</v>
      </c>
      <c r="K7" s="299" t="n">
        <f aca="false">(D14+D9+D11+D10+D24)/25</f>
        <v>769.8304</v>
      </c>
      <c r="O7" s="272" t="s">
        <v>447</v>
      </c>
      <c r="P7" s="210" t="s">
        <v>172</v>
      </c>
      <c r="Q7" s="211" t="s">
        <v>458</v>
      </c>
      <c r="R7" s="211" t="s">
        <v>195</v>
      </c>
      <c r="S7" s="212" t="n">
        <v>7</v>
      </c>
      <c r="T7" s="213" t="n">
        <v>1900</v>
      </c>
      <c r="X7" s="202" t="s">
        <v>368</v>
      </c>
      <c r="Y7" s="295" t="n">
        <f aca="false">SUM(Y8,Y25,Y39,Y44,Y47)</f>
        <v>28602.01</v>
      </c>
      <c r="Z7" s="204"/>
      <c r="AA7" s="204"/>
      <c r="AB7" s="204"/>
      <c r="AC7" s="204"/>
      <c r="AD7" s="205"/>
    </row>
    <row r="8" customFormat="false" ht="27.75" hidden="false" customHeight="true" outlineLevel="0" collapsed="false">
      <c r="A8" s="211" t="s">
        <v>75</v>
      </c>
      <c r="B8" s="77" t="n">
        <v>1</v>
      </c>
      <c r="C8" s="189" t="s">
        <v>370</v>
      </c>
      <c r="D8" s="323" t="n">
        <v>5815</v>
      </c>
      <c r="E8" s="324"/>
      <c r="F8" s="209"/>
      <c r="G8" s="209"/>
      <c r="H8" s="209"/>
      <c r="I8" s="191"/>
      <c r="J8" s="298" t="s">
        <v>461</v>
      </c>
      <c r="K8" s="299" t="n">
        <f aca="false">(D8+D14+D24+D21)/30</f>
        <v>612.358666666667</v>
      </c>
      <c r="O8" s="272" t="s">
        <v>447</v>
      </c>
      <c r="P8" s="210" t="s">
        <v>172</v>
      </c>
      <c r="Q8" s="211" t="s">
        <v>75</v>
      </c>
      <c r="R8" s="211" t="s">
        <v>180</v>
      </c>
      <c r="S8" s="212" t="n">
        <v>10</v>
      </c>
      <c r="T8" s="213" t="n">
        <v>2500</v>
      </c>
      <c r="X8" s="199" t="s">
        <v>369</v>
      </c>
      <c r="Y8" s="297" t="n">
        <f aca="false">SUM(Y9:Y24)</f>
        <v>15500</v>
      </c>
      <c r="Z8" s="201"/>
      <c r="AA8" s="201"/>
      <c r="AB8" s="201"/>
      <c r="AC8" s="201"/>
      <c r="AD8" s="207"/>
    </row>
    <row r="9" customFormat="false" ht="15" hidden="false" customHeight="true" outlineLevel="0" collapsed="false">
      <c r="A9" s="211" t="s">
        <v>182</v>
      </c>
      <c r="B9" s="77" t="n">
        <v>1</v>
      </c>
      <c r="C9" s="189" t="s">
        <v>219</v>
      </c>
      <c r="D9" s="300" t="n">
        <v>1834</v>
      </c>
      <c r="F9" s="209"/>
      <c r="G9" s="209"/>
      <c r="H9" s="209"/>
      <c r="I9" s="191"/>
      <c r="J9" s="298"/>
      <c r="K9" s="299"/>
      <c r="O9" s="272" t="s">
        <v>447</v>
      </c>
      <c r="P9" s="210" t="s">
        <v>172</v>
      </c>
      <c r="Q9" s="211" t="s">
        <v>182</v>
      </c>
      <c r="R9" s="211" t="s">
        <v>177</v>
      </c>
      <c r="S9" s="212" t="n">
        <v>12</v>
      </c>
      <c r="T9" s="213" t="n">
        <v>1500</v>
      </c>
      <c r="X9" s="189" t="s">
        <v>370</v>
      </c>
      <c r="Y9" s="300" t="n">
        <f aca="false">2696+750</f>
        <v>3446</v>
      </c>
      <c r="Z9" s="324"/>
      <c r="AA9" s="209"/>
      <c r="AB9" s="209"/>
      <c r="AC9" s="209"/>
      <c r="AD9" s="191"/>
    </row>
    <row r="10" customFormat="false" ht="15" hidden="false" customHeight="true" outlineLevel="0" collapsed="false">
      <c r="A10" s="211" t="s">
        <v>183</v>
      </c>
      <c r="B10" s="77" t="n">
        <v>1</v>
      </c>
      <c r="C10" s="189" t="s">
        <v>372</v>
      </c>
      <c r="D10" s="325" t="n">
        <v>4078</v>
      </c>
      <c r="E10" s="187" t="n">
        <v>20</v>
      </c>
      <c r="F10" s="209"/>
      <c r="G10" s="209"/>
      <c r="H10" s="209"/>
      <c r="I10" s="191"/>
      <c r="J10" s="303"/>
      <c r="K10" s="304"/>
      <c r="O10" s="272" t="s">
        <v>447</v>
      </c>
      <c r="P10" s="210" t="s">
        <v>172</v>
      </c>
      <c r="Q10" s="211" t="s">
        <v>183</v>
      </c>
      <c r="R10" s="211" t="s">
        <v>184</v>
      </c>
      <c r="S10" s="212" t="n">
        <v>16</v>
      </c>
      <c r="T10" s="213" t="n">
        <v>600</v>
      </c>
      <c r="X10" s="189" t="s">
        <v>219</v>
      </c>
      <c r="Y10" s="300" t="n">
        <v>1834</v>
      </c>
      <c r="AA10" s="209"/>
      <c r="AB10" s="209"/>
      <c r="AC10" s="209"/>
      <c r="AD10" s="191"/>
    </row>
    <row r="11" customFormat="false" ht="15" hidden="false" customHeight="true" outlineLevel="0" collapsed="false">
      <c r="A11" s="211" t="s">
        <v>189</v>
      </c>
      <c r="B11" s="77" t="n">
        <v>1</v>
      </c>
      <c r="C11" s="189" t="s">
        <v>373</v>
      </c>
      <c r="D11" s="325" t="n">
        <v>4078</v>
      </c>
      <c r="E11" s="187" t="n">
        <v>13</v>
      </c>
      <c r="F11" s="209"/>
      <c r="G11" s="209"/>
      <c r="H11" s="209"/>
      <c r="I11" s="191"/>
      <c r="O11" s="272" t="s">
        <v>447</v>
      </c>
      <c r="P11" s="210" t="s">
        <v>172</v>
      </c>
      <c r="Q11" s="211"/>
      <c r="R11" s="211"/>
      <c r="S11" s="212"/>
      <c r="T11" s="213"/>
      <c r="X11" s="189" t="s">
        <v>372</v>
      </c>
      <c r="Y11" s="300" t="n">
        <v>2500</v>
      </c>
      <c r="Z11" s="187" t="n">
        <v>20</v>
      </c>
      <c r="AA11" s="209"/>
      <c r="AB11" s="209"/>
      <c r="AC11" s="209"/>
      <c r="AD11" s="191"/>
    </row>
    <row r="12" customFormat="false" ht="15" hidden="false" customHeight="true" outlineLevel="0" collapsed="false">
      <c r="A12" s="211" t="s">
        <v>191</v>
      </c>
      <c r="B12" s="77" t="n">
        <v>1</v>
      </c>
      <c r="C12" s="189" t="s">
        <v>374</v>
      </c>
      <c r="D12" s="325" t="n">
        <v>4301</v>
      </c>
      <c r="E12" s="187" t="n">
        <v>25</v>
      </c>
      <c r="F12" s="209"/>
      <c r="G12" s="209"/>
      <c r="H12" s="209"/>
      <c r="I12" s="191"/>
      <c r="J12" s="296" t="s">
        <v>499</v>
      </c>
      <c r="K12" s="296"/>
      <c r="O12" s="272" t="s">
        <v>447</v>
      </c>
      <c r="P12" s="210" t="s">
        <v>207</v>
      </c>
      <c r="Q12" s="211" t="s">
        <v>467</v>
      </c>
      <c r="R12" s="211"/>
      <c r="S12" s="212" t="n">
        <v>15</v>
      </c>
      <c r="T12" s="213" t="n">
        <v>1500</v>
      </c>
      <c r="X12" s="189" t="s">
        <v>373</v>
      </c>
      <c r="Y12" s="300" t="n">
        <v>2500</v>
      </c>
      <c r="Z12" s="187" t="n">
        <v>13</v>
      </c>
      <c r="AA12" s="209"/>
      <c r="AB12" s="209"/>
      <c r="AC12" s="209"/>
      <c r="AD12" s="191"/>
    </row>
    <row r="13" customFormat="false" ht="27.75" hidden="false" customHeight="true" outlineLevel="0" collapsed="false">
      <c r="A13" s="211" t="s">
        <v>64</v>
      </c>
      <c r="B13" s="77" t="n">
        <v>1</v>
      </c>
      <c r="C13" s="189" t="s">
        <v>223</v>
      </c>
      <c r="D13" s="300" t="n">
        <v>2500</v>
      </c>
      <c r="E13" s="187" t="n">
        <v>30</v>
      </c>
      <c r="F13" s="209"/>
      <c r="G13" s="209"/>
      <c r="H13" s="209"/>
      <c r="I13" s="191"/>
      <c r="J13" s="298" t="s">
        <v>459</v>
      </c>
      <c r="K13" s="299" t="n">
        <f aca="false">D58/25</f>
        <v>2139.632</v>
      </c>
      <c r="O13" s="272" t="s">
        <v>447</v>
      </c>
      <c r="P13" s="210" t="s">
        <v>207</v>
      </c>
      <c r="Q13" s="211" t="s">
        <v>468</v>
      </c>
      <c r="R13" s="211" t="s">
        <v>195</v>
      </c>
      <c r="S13" s="212" t="n">
        <v>15</v>
      </c>
      <c r="T13" s="213" t="n">
        <v>1000</v>
      </c>
      <c r="X13" s="189" t="s">
        <v>374</v>
      </c>
      <c r="Y13" s="300"/>
      <c r="Z13" s="187" t="n">
        <v>25</v>
      </c>
      <c r="AA13" s="209"/>
      <c r="AB13" s="209"/>
      <c r="AC13" s="209"/>
      <c r="AD13" s="191"/>
    </row>
    <row r="14" customFormat="false" ht="27.75" hidden="false" customHeight="true" outlineLevel="0" collapsed="false">
      <c r="A14" s="211" t="s">
        <v>81</v>
      </c>
      <c r="B14" s="77" t="n">
        <v>1</v>
      </c>
      <c r="C14" s="225" t="s">
        <v>379</v>
      </c>
      <c r="D14" s="323" t="n">
        <v>5815</v>
      </c>
      <c r="E14" s="187" t="n">
        <v>19</v>
      </c>
      <c r="F14" s="209"/>
      <c r="G14" s="209"/>
      <c r="H14" s="209"/>
      <c r="I14" s="191"/>
      <c r="J14" s="298" t="s">
        <v>461</v>
      </c>
      <c r="K14" s="299" t="n">
        <f aca="false">D58/30</f>
        <v>1783.02666666667</v>
      </c>
      <c r="O14" s="272" t="s">
        <v>447</v>
      </c>
      <c r="P14" s="210" t="s">
        <v>172</v>
      </c>
      <c r="Q14" s="211"/>
      <c r="R14" s="211"/>
      <c r="S14" s="212"/>
      <c r="T14" s="213"/>
      <c r="X14" s="189" t="s">
        <v>223</v>
      </c>
      <c r="Y14" s="300" t="n">
        <v>1500</v>
      </c>
      <c r="Z14" s="187" t="n">
        <v>30</v>
      </c>
      <c r="AA14" s="209"/>
      <c r="AB14" s="209"/>
      <c r="AC14" s="209"/>
      <c r="AD14" s="191"/>
    </row>
    <row r="15" customFormat="false" ht="27.75" hidden="false" customHeight="true" outlineLevel="0" collapsed="false">
      <c r="A15" s="211" t="s">
        <v>68</v>
      </c>
      <c r="B15" s="77" t="n">
        <v>1</v>
      </c>
      <c r="C15" s="189" t="s">
        <v>225</v>
      </c>
      <c r="D15" s="325" t="n">
        <v>4078</v>
      </c>
      <c r="E15" s="187" t="n">
        <v>25</v>
      </c>
      <c r="F15" s="209"/>
      <c r="G15" s="209"/>
      <c r="H15" s="209"/>
      <c r="I15" s="191"/>
      <c r="J15" s="298" t="s">
        <v>500</v>
      </c>
      <c r="K15" s="299" t="n">
        <f aca="false">D58/L4</f>
        <v>1138.10212765957</v>
      </c>
      <c r="O15" s="272" t="s">
        <v>447</v>
      </c>
      <c r="P15" s="210" t="s">
        <v>172</v>
      </c>
      <c r="Q15" s="211" t="s">
        <v>189</v>
      </c>
      <c r="R15" s="211" t="s">
        <v>190</v>
      </c>
      <c r="S15" s="212" t="n">
        <v>25</v>
      </c>
      <c r="T15" s="213" t="n">
        <v>2000</v>
      </c>
      <c r="X15" s="225" t="s">
        <v>379</v>
      </c>
      <c r="Y15" s="300" t="n">
        <v>1834</v>
      </c>
      <c r="Z15" s="187" t="n">
        <v>19</v>
      </c>
      <c r="AA15" s="209"/>
      <c r="AB15" s="209"/>
      <c r="AC15" s="209"/>
      <c r="AD15" s="191"/>
    </row>
    <row r="16" customFormat="false" ht="15" hidden="false" customHeight="true" outlineLevel="0" collapsed="false">
      <c r="A16" s="211" t="s">
        <v>470</v>
      </c>
      <c r="B16" s="77" t="n">
        <v>1</v>
      </c>
      <c r="C16" s="189" t="s">
        <v>381</v>
      </c>
      <c r="D16" s="300" t="n">
        <v>200</v>
      </c>
      <c r="E16" s="187" t="n">
        <v>1</v>
      </c>
      <c r="F16" s="209" t="s">
        <v>187</v>
      </c>
      <c r="G16" s="209" t="s">
        <v>175</v>
      </c>
      <c r="H16" s="209" t="s">
        <v>246</v>
      </c>
      <c r="I16" s="191" t="n">
        <v>45962</v>
      </c>
      <c r="J16" s="303"/>
      <c r="K16" s="304"/>
      <c r="O16" s="272" t="s">
        <v>447</v>
      </c>
      <c r="P16" s="210" t="s">
        <v>172</v>
      </c>
      <c r="Q16" s="211" t="s">
        <v>191</v>
      </c>
      <c r="R16" s="211" t="s">
        <v>192</v>
      </c>
      <c r="S16" s="212" t="n">
        <v>25</v>
      </c>
      <c r="T16" s="213" t="n">
        <v>1350</v>
      </c>
      <c r="X16" s="189" t="s">
        <v>225</v>
      </c>
      <c r="Y16" s="300" t="n">
        <v>1500</v>
      </c>
      <c r="Z16" s="187" t="n">
        <v>25</v>
      </c>
      <c r="AA16" s="209"/>
      <c r="AB16" s="209"/>
      <c r="AC16" s="209"/>
      <c r="AD16" s="191"/>
    </row>
    <row r="17" customFormat="false" ht="15" hidden="false" customHeight="true" outlineLevel="0" collapsed="false">
      <c r="A17" s="211" t="s">
        <v>201</v>
      </c>
      <c r="B17" s="77" t="n">
        <v>1</v>
      </c>
      <c r="C17" s="189" t="s">
        <v>375</v>
      </c>
      <c r="D17" s="300" t="n">
        <v>200</v>
      </c>
      <c r="E17" s="187" t="n">
        <v>30</v>
      </c>
      <c r="F17" s="209"/>
      <c r="G17" s="209"/>
      <c r="H17" s="209"/>
      <c r="I17" s="191"/>
      <c r="O17" s="272" t="s">
        <v>447</v>
      </c>
      <c r="P17" s="210" t="s">
        <v>172</v>
      </c>
      <c r="Q17" s="211" t="s">
        <v>64</v>
      </c>
      <c r="R17" s="211" t="s">
        <v>180</v>
      </c>
      <c r="S17" s="212" t="n">
        <v>25</v>
      </c>
      <c r="T17" s="213" t="n">
        <v>1900</v>
      </c>
      <c r="X17" s="189" t="s">
        <v>381</v>
      </c>
      <c r="Y17" s="300" t="n">
        <v>282</v>
      </c>
      <c r="Z17" s="187" t="n">
        <v>1</v>
      </c>
      <c r="AA17" s="209" t="s">
        <v>187</v>
      </c>
      <c r="AB17" s="209" t="s">
        <v>175</v>
      </c>
      <c r="AC17" s="209" t="s">
        <v>246</v>
      </c>
      <c r="AD17" s="191" t="n">
        <v>45962</v>
      </c>
    </row>
    <row r="18" customFormat="false" ht="15" hidden="false" customHeight="true" outlineLevel="0" collapsed="false">
      <c r="A18" s="211" t="s">
        <v>202</v>
      </c>
      <c r="B18" s="77" t="n">
        <v>1</v>
      </c>
      <c r="C18" s="189" t="s">
        <v>218</v>
      </c>
      <c r="D18" s="300" t="n">
        <v>200</v>
      </c>
      <c r="E18" s="187"/>
      <c r="F18" s="209"/>
      <c r="G18" s="209"/>
      <c r="H18" s="209"/>
      <c r="I18" s="191"/>
      <c r="O18" s="272" t="s">
        <v>447</v>
      </c>
      <c r="P18" s="308" t="s">
        <v>172</v>
      </c>
      <c r="Q18" s="211" t="s">
        <v>194</v>
      </c>
      <c r="R18" s="211" t="s">
        <v>195</v>
      </c>
      <c r="S18" s="212" t="n">
        <v>30</v>
      </c>
      <c r="T18" s="213" t="n">
        <v>5500</v>
      </c>
      <c r="X18" s="189" t="s">
        <v>375</v>
      </c>
      <c r="Y18" s="300" t="n">
        <v>104</v>
      </c>
      <c r="Z18" s="187" t="n">
        <v>30</v>
      </c>
      <c r="AA18" s="209"/>
      <c r="AB18" s="209"/>
      <c r="AC18" s="209"/>
      <c r="AD18" s="191"/>
    </row>
    <row r="19" customFormat="false" ht="15" hidden="false" customHeight="true" outlineLevel="0" collapsed="false">
      <c r="A19" s="211" t="s">
        <v>203</v>
      </c>
      <c r="B19" s="77" t="n">
        <v>1</v>
      </c>
      <c r="C19" s="189" t="s">
        <v>473</v>
      </c>
      <c r="D19" s="300" t="n">
        <v>200</v>
      </c>
      <c r="E19" s="187"/>
      <c r="F19" s="209"/>
      <c r="G19" s="209"/>
      <c r="H19" s="209"/>
      <c r="I19" s="191"/>
      <c r="O19" s="272" t="s">
        <v>447</v>
      </c>
      <c r="P19" s="308" t="s">
        <v>172</v>
      </c>
      <c r="Q19" s="211" t="s">
        <v>81</v>
      </c>
      <c r="R19" s="211" t="s">
        <v>196</v>
      </c>
      <c r="S19" s="212" t="n">
        <v>25</v>
      </c>
      <c r="T19" s="213" t="n">
        <v>1500</v>
      </c>
      <c r="X19" s="189" t="s">
        <v>218</v>
      </c>
      <c r="Y19" s="300"/>
      <c r="Z19" s="187"/>
      <c r="AA19" s="209"/>
      <c r="AB19" s="209"/>
      <c r="AC19" s="209"/>
      <c r="AD19" s="191"/>
    </row>
    <row r="20" customFormat="false" ht="15" hidden="false" customHeight="true" outlineLevel="0" collapsed="false">
      <c r="A20" s="211" t="s">
        <v>205</v>
      </c>
      <c r="B20" s="77" t="n">
        <v>1</v>
      </c>
      <c r="C20" s="189" t="s">
        <v>383</v>
      </c>
      <c r="D20" s="300" t="n">
        <v>200</v>
      </c>
      <c r="E20" s="187"/>
      <c r="F20" s="209"/>
      <c r="G20" s="209"/>
      <c r="H20" s="209"/>
      <c r="I20" s="191"/>
      <c r="O20" s="272" t="s">
        <v>447</v>
      </c>
      <c r="P20" s="308" t="s">
        <v>172</v>
      </c>
      <c r="Q20" s="211" t="s">
        <v>68</v>
      </c>
      <c r="R20" s="211" t="s">
        <v>197</v>
      </c>
      <c r="S20" s="212" t="n">
        <v>30</v>
      </c>
      <c r="T20" s="213" t="n">
        <v>1360</v>
      </c>
      <c r="X20" s="189" t="s">
        <v>473</v>
      </c>
      <c r="Y20" s="300"/>
      <c r="Z20" s="187"/>
      <c r="AA20" s="209"/>
      <c r="AB20" s="209"/>
      <c r="AC20" s="209"/>
      <c r="AD20" s="191"/>
    </row>
    <row r="21" customFormat="false" ht="15" hidden="false" customHeight="true" outlineLevel="0" collapsed="false">
      <c r="A21" s="211" t="s">
        <v>475</v>
      </c>
      <c r="B21" s="77" t="n">
        <v>1</v>
      </c>
      <c r="C21" s="189" t="s">
        <v>384</v>
      </c>
      <c r="D21" s="208" t="n">
        <v>3300</v>
      </c>
      <c r="E21" s="187"/>
      <c r="F21" s="209"/>
      <c r="G21" s="209"/>
      <c r="H21" s="209"/>
      <c r="I21" s="191"/>
      <c r="O21" s="272" t="s">
        <v>447</v>
      </c>
      <c r="P21" s="210" t="s">
        <v>172</v>
      </c>
      <c r="Q21" s="211" t="s">
        <v>470</v>
      </c>
      <c r="R21" s="211" t="s">
        <v>195</v>
      </c>
      <c r="S21" s="212" t="n">
        <v>30</v>
      </c>
      <c r="T21" s="213" t="n">
        <v>1700</v>
      </c>
      <c r="X21" s="189" t="s">
        <v>383</v>
      </c>
      <c r="Y21" s="300"/>
      <c r="Z21" s="187"/>
      <c r="AA21" s="209"/>
      <c r="AB21" s="209"/>
      <c r="AC21" s="209"/>
      <c r="AD21" s="191"/>
    </row>
    <row r="22" customFormat="false" ht="15" hidden="false" customHeight="true" outlineLevel="0" collapsed="false">
      <c r="A22" s="211" t="s">
        <v>477</v>
      </c>
      <c r="B22" s="77" t="n">
        <v>1</v>
      </c>
      <c r="C22" s="189" t="s">
        <v>386</v>
      </c>
      <c r="D22" s="208"/>
      <c r="E22" s="187"/>
      <c r="F22" s="209"/>
      <c r="G22" s="209"/>
      <c r="H22" s="209"/>
      <c r="I22" s="191"/>
      <c r="O22" s="272" t="s">
        <v>447</v>
      </c>
      <c r="P22" s="308" t="s">
        <v>172</v>
      </c>
      <c r="Q22" s="211" t="s">
        <v>201</v>
      </c>
      <c r="R22" s="211" t="s">
        <v>177</v>
      </c>
      <c r="S22" s="212" t="n">
        <v>28</v>
      </c>
      <c r="T22" s="213" t="n">
        <v>750</v>
      </c>
      <c r="X22" s="189" t="s">
        <v>384</v>
      </c>
      <c r="Y22" s="208"/>
      <c r="Z22" s="187"/>
      <c r="AA22" s="209"/>
      <c r="AB22" s="209"/>
      <c r="AC22" s="209"/>
      <c r="AD22" s="191"/>
    </row>
    <row r="23" customFormat="false" ht="15" hidden="false" customHeight="true" outlineLevel="0" collapsed="false">
      <c r="A23" s="211" t="s">
        <v>479</v>
      </c>
      <c r="B23" s="77" t="n">
        <v>1</v>
      </c>
      <c r="C23" s="189" t="s">
        <v>387</v>
      </c>
      <c r="D23" s="208"/>
      <c r="E23" s="187"/>
      <c r="F23" s="209"/>
      <c r="G23" s="209"/>
      <c r="H23" s="209"/>
      <c r="I23" s="191"/>
      <c r="O23" s="272" t="s">
        <v>447</v>
      </c>
      <c r="P23" s="308" t="s">
        <v>172</v>
      </c>
      <c r="Q23" s="211" t="s">
        <v>202</v>
      </c>
      <c r="R23" s="211" t="s">
        <v>177</v>
      </c>
      <c r="S23" s="212" t="n">
        <v>30</v>
      </c>
      <c r="T23" s="213" t="n">
        <v>1250</v>
      </c>
      <c r="X23" s="189" t="s">
        <v>386</v>
      </c>
      <c r="Y23" s="208"/>
      <c r="Z23" s="187"/>
      <c r="AA23" s="209"/>
      <c r="AB23" s="209"/>
      <c r="AC23" s="209"/>
      <c r="AD23" s="191"/>
    </row>
    <row r="24" customFormat="false" ht="15" hidden="false" customHeight="true" outlineLevel="0" collapsed="false">
      <c r="A24" s="211" t="s">
        <v>481</v>
      </c>
      <c r="B24" s="77" t="n">
        <v>1</v>
      </c>
      <c r="C24" s="243" t="s">
        <v>388</v>
      </c>
      <c r="D24" s="313" t="n">
        <f aca="false">SUM(D25:D37)</f>
        <v>3440.76</v>
      </c>
      <c r="E24" s="237" t="n">
        <v>28</v>
      </c>
      <c r="F24" s="245"/>
      <c r="G24" s="245"/>
      <c r="H24" s="245"/>
      <c r="I24" s="242"/>
      <c r="O24" s="272" t="s">
        <v>447</v>
      </c>
      <c r="P24" s="308" t="s">
        <v>172</v>
      </c>
      <c r="Q24" s="211" t="s">
        <v>203</v>
      </c>
      <c r="R24" s="211" t="s">
        <v>204</v>
      </c>
      <c r="S24" s="212" t="n">
        <v>30</v>
      </c>
      <c r="T24" s="213" t="n">
        <v>2000</v>
      </c>
      <c r="X24" s="189" t="s">
        <v>387</v>
      </c>
      <c r="Y24" s="208"/>
      <c r="Z24" s="187"/>
      <c r="AA24" s="209"/>
      <c r="AB24" s="209"/>
      <c r="AC24" s="209"/>
      <c r="AD24" s="191"/>
    </row>
    <row r="25" customFormat="false" ht="15" hidden="false" customHeight="true" outlineLevel="0" collapsed="false">
      <c r="A25" s="211" t="s">
        <v>482</v>
      </c>
      <c r="B25" s="77" t="n">
        <v>1</v>
      </c>
      <c r="C25" s="189" t="s">
        <v>389</v>
      </c>
      <c r="D25" s="300" t="n">
        <f aca="false">110.38+38.21</f>
        <v>148.59</v>
      </c>
      <c r="E25" s="187"/>
      <c r="F25" s="209"/>
      <c r="G25" s="209"/>
      <c r="H25" s="209"/>
      <c r="I25" s="191"/>
      <c r="O25" s="272" t="s">
        <v>447</v>
      </c>
      <c r="P25" s="308" t="s">
        <v>172</v>
      </c>
      <c r="Q25" s="211" t="s">
        <v>205</v>
      </c>
      <c r="R25" s="211" t="s">
        <v>197</v>
      </c>
      <c r="S25" s="212" t="n">
        <v>30</v>
      </c>
      <c r="T25" s="213" t="n">
        <v>600</v>
      </c>
      <c r="X25" s="243" t="s">
        <v>388</v>
      </c>
      <c r="Y25" s="313" t="n">
        <f aca="false">SUM(Y26:Y38)</f>
        <v>3440.76</v>
      </c>
      <c r="Z25" s="237" t="n">
        <v>28</v>
      </c>
      <c r="AA25" s="245"/>
      <c r="AB25" s="245"/>
      <c r="AC25" s="245"/>
      <c r="AD25" s="242"/>
    </row>
    <row r="26" customFormat="false" ht="15" hidden="false" customHeight="true" outlineLevel="0" collapsed="false">
      <c r="A26" s="211" t="s">
        <v>484</v>
      </c>
      <c r="B26" s="77" t="n">
        <v>1</v>
      </c>
      <c r="C26" s="189" t="s">
        <v>390</v>
      </c>
      <c r="D26" s="300" t="n">
        <v>100</v>
      </c>
      <c r="E26" s="187"/>
      <c r="F26" s="209"/>
      <c r="G26" s="209"/>
      <c r="H26" s="209"/>
      <c r="I26" s="191"/>
      <c r="Q26" s="63" t="s">
        <v>501</v>
      </c>
      <c r="T26" s="63" t="n">
        <v>1000</v>
      </c>
      <c r="X26" s="189" t="s">
        <v>389</v>
      </c>
      <c r="Y26" s="300" t="n">
        <f aca="false">110.38+38.21</f>
        <v>148.59</v>
      </c>
      <c r="Z26" s="187"/>
      <c r="AA26" s="209"/>
      <c r="AB26" s="209"/>
      <c r="AC26" s="209"/>
      <c r="AD26" s="191"/>
    </row>
    <row r="27" customFormat="false" ht="15" hidden="false" customHeight="true" outlineLevel="0" collapsed="false">
      <c r="A27" s="211" t="s">
        <v>486</v>
      </c>
      <c r="B27" s="77" t="n">
        <v>1</v>
      </c>
      <c r="C27" s="189" t="s">
        <v>230</v>
      </c>
      <c r="D27" s="300" t="n">
        <v>14.99</v>
      </c>
      <c r="E27" s="187"/>
      <c r="F27" s="209"/>
      <c r="G27" s="209"/>
      <c r="H27" s="209"/>
      <c r="I27" s="191"/>
      <c r="P27" s="186"/>
      <c r="Q27" s="63" t="s">
        <v>501</v>
      </c>
      <c r="T27" s="63" t="n">
        <v>1000</v>
      </c>
      <c r="X27" s="189" t="s">
        <v>390</v>
      </c>
      <c r="Y27" s="300" t="n">
        <v>100</v>
      </c>
      <c r="Z27" s="187"/>
      <c r="AA27" s="209"/>
      <c r="AB27" s="209"/>
      <c r="AC27" s="209"/>
      <c r="AD27" s="191"/>
    </row>
    <row r="28" customFormat="false" ht="15" hidden="false" customHeight="true" outlineLevel="0" collapsed="false">
      <c r="A28" s="211" t="s">
        <v>488</v>
      </c>
      <c r="B28" s="77" t="n">
        <v>1</v>
      </c>
      <c r="C28" s="189" t="s">
        <v>391</v>
      </c>
      <c r="D28" s="300" t="n">
        <v>214.82</v>
      </c>
      <c r="E28" s="187"/>
      <c r="F28" s="209"/>
      <c r="G28" s="209"/>
      <c r="H28" s="209"/>
      <c r="I28" s="191"/>
      <c r="P28" s="233"/>
      <c r="Q28" s="63" t="s">
        <v>501</v>
      </c>
      <c r="T28" s="63" t="n">
        <v>1000</v>
      </c>
      <c r="X28" s="189" t="s">
        <v>230</v>
      </c>
      <c r="Y28" s="300" t="n">
        <v>14.99</v>
      </c>
      <c r="Z28" s="187"/>
      <c r="AA28" s="209"/>
      <c r="AB28" s="209"/>
      <c r="AC28" s="209"/>
      <c r="AD28" s="191"/>
    </row>
    <row r="29" customFormat="false" ht="27.75" hidden="false" customHeight="true" outlineLevel="0" collapsed="false">
      <c r="A29" s="211" t="s">
        <v>490</v>
      </c>
      <c r="B29" s="77" t="n">
        <v>1</v>
      </c>
      <c r="C29" s="189" t="s">
        <v>392</v>
      </c>
      <c r="D29" s="300" t="n">
        <v>275</v>
      </c>
      <c r="E29" s="187"/>
      <c r="F29" s="209"/>
      <c r="G29" s="209"/>
      <c r="H29" s="209"/>
      <c r="I29" s="191"/>
      <c r="P29" s="233"/>
      <c r="Q29" s="326" t="s">
        <v>502</v>
      </c>
      <c r="T29" s="63" t="n">
        <v>1537</v>
      </c>
      <c r="X29" s="189" t="s">
        <v>391</v>
      </c>
      <c r="Y29" s="300" t="n">
        <v>214.82</v>
      </c>
      <c r="Z29" s="187"/>
      <c r="AA29" s="209"/>
      <c r="AB29" s="209"/>
      <c r="AC29" s="209"/>
      <c r="AD29" s="191"/>
    </row>
    <row r="30" customFormat="false" ht="27.75" hidden="false" customHeight="true" outlineLevel="0" collapsed="false">
      <c r="A30" s="211" t="s">
        <v>503</v>
      </c>
      <c r="B30" s="77" t="n">
        <v>1</v>
      </c>
      <c r="C30" s="189" t="s">
        <v>393</v>
      </c>
      <c r="D30" s="300" t="n">
        <f aca="false">19.9+53.9</f>
        <v>73.8</v>
      </c>
      <c r="E30" s="187"/>
      <c r="F30" s="209"/>
      <c r="G30" s="209"/>
      <c r="H30" s="209"/>
      <c r="I30" s="191"/>
      <c r="P30" s="233"/>
      <c r="Q30" s="326" t="s">
        <v>502</v>
      </c>
      <c r="T30" s="63" t="n">
        <v>1537</v>
      </c>
      <c r="X30" s="189" t="s">
        <v>392</v>
      </c>
      <c r="Y30" s="300" t="n">
        <v>275</v>
      </c>
      <c r="Z30" s="187"/>
      <c r="AA30" s="209"/>
      <c r="AB30" s="209"/>
      <c r="AC30" s="209"/>
      <c r="AD30" s="191"/>
    </row>
    <row r="31" customFormat="false" ht="27.75" hidden="false" customHeight="true" outlineLevel="0" collapsed="false">
      <c r="A31" s="211" t="s">
        <v>503</v>
      </c>
      <c r="B31" s="77" t="n">
        <v>1</v>
      </c>
      <c r="C31" s="189" t="s">
        <v>394</v>
      </c>
      <c r="D31" s="300" t="n">
        <v>59</v>
      </c>
      <c r="E31" s="187"/>
      <c r="F31" s="209"/>
      <c r="G31" s="209"/>
      <c r="H31" s="209"/>
      <c r="I31" s="191"/>
      <c r="P31" s="233"/>
      <c r="Q31" s="326" t="s">
        <v>502</v>
      </c>
      <c r="T31" s="63" t="n">
        <v>1537</v>
      </c>
      <c r="X31" s="189" t="s">
        <v>393</v>
      </c>
      <c r="Y31" s="300" t="n">
        <f aca="false">19.9+53.9</f>
        <v>73.8</v>
      </c>
      <c r="Z31" s="187"/>
      <c r="AA31" s="209"/>
      <c r="AB31" s="209"/>
      <c r="AC31" s="209"/>
      <c r="AD31" s="191"/>
    </row>
    <row r="32" customFormat="false" ht="27.75" hidden="false" customHeight="true" outlineLevel="0" collapsed="false">
      <c r="A32" s="211" t="s">
        <v>503</v>
      </c>
      <c r="B32" s="77" t="n">
        <v>1</v>
      </c>
      <c r="C32" s="189" t="s">
        <v>395</v>
      </c>
      <c r="D32" s="300" t="n">
        <v>142.24</v>
      </c>
      <c r="E32" s="187"/>
      <c r="F32" s="209"/>
      <c r="G32" s="209"/>
      <c r="H32" s="209"/>
      <c r="I32" s="191"/>
      <c r="P32" s="233"/>
      <c r="Q32" s="326" t="s">
        <v>502</v>
      </c>
      <c r="T32" s="63" t="n">
        <v>1537</v>
      </c>
      <c r="X32" s="189" t="s">
        <v>394</v>
      </c>
      <c r="Y32" s="300" t="n">
        <v>59</v>
      </c>
      <c r="Z32" s="187"/>
      <c r="AA32" s="209"/>
      <c r="AB32" s="209"/>
      <c r="AC32" s="209"/>
      <c r="AD32" s="191"/>
    </row>
    <row r="33" customFormat="false" ht="27.75" hidden="false" customHeight="true" outlineLevel="0" collapsed="false">
      <c r="A33" s="63" t="s">
        <v>502</v>
      </c>
      <c r="B33" s="77" t="n">
        <v>1</v>
      </c>
      <c r="C33" s="189" t="s">
        <v>396</v>
      </c>
      <c r="D33" s="300" t="n">
        <v>1000</v>
      </c>
      <c r="E33" s="187"/>
      <c r="F33" s="209"/>
      <c r="G33" s="209"/>
      <c r="H33" s="209"/>
      <c r="I33" s="191"/>
      <c r="P33" s="233"/>
      <c r="Q33" s="326" t="s">
        <v>502</v>
      </c>
      <c r="T33" s="63" t="n">
        <v>1537</v>
      </c>
      <c r="X33" s="189" t="s">
        <v>395</v>
      </c>
      <c r="Y33" s="300" t="n">
        <v>142.24</v>
      </c>
      <c r="Z33" s="187"/>
      <c r="AA33" s="209"/>
      <c r="AB33" s="209"/>
      <c r="AC33" s="209"/>
      <c r="AD33" s="191"/>
    </row>
    <row r="34" customFormat="false" ht="27.75" hidden="false" customHeight="true" outlineLevel="0" collapsed="false">
      <c r="A34" s="63" t="s">
        <v>502</v>
      </c>
      <c r="B34" s="77" t="n">
        <v>1</v>
      </c>
      <c r="C34" s="189" t="s">
        <v>397</v>
      </c>
      <c r="D34" s="300" t="n">
        <v>44.99</v>
      </c>
      <c r="E34" s="187"/>
      <c r="F34" s="209"/>
      <c r="G34" s="209"/>
      <c r="H34" s="209"/>
      <c r="I34" s="191"/>
      <c r="P34" s="233"/>
      <c r="Q34" s="326" t="s">
        <v>502</v>
      </c>
      <c r="T34" s="63" t="n">
        <v>1537</v>
      </c>
      <c r="X34" s="189" t="s">
        <v>396</v>
      </c>
      <c r="Y34" s="300" t="n">
        <v>1000</v>
      </c>
      <c r="Z34" s="187"/>
      <c r="AA34" s="209"/>
      <c r="AB34" s="209"/>
      <c r="AC34" s="209"/>
      <c r="AD34" s="191"/>
    </row>
    <row r="35" customFormat="false" ht="27.75" hidden="false" customHeight="true" outlineLevel="0" collapsed="false">
      <c r="A35" s="63" t="s">
        <v>502</v>
      </c>
      <c r="B35" s="77" t="n">
        <v>1</v>
      </c>
      <c r="C35" s="189" t="s">
        <v>398</v>
      </c>
      <c r="D35" s="300" t="n">
        <v>118.17</v>
      </c>
      <c r="E35" s="187"/>
      <c r="F35" s="209"/>
      <c r="G35" s="209"/>
      <c r="H35" s="209"/>
      <c r="I35" s="191"/>
      <c r="Q35" s="326" t="s">
        <v>502</v>
      </c>
      <c r="T35" s="63" t="n">
        <v>1537</v>
      </c>
      <c r="X35" s="189" t="s">
        <v>397</v>
      </c>
      <c r="Y35" s="300" t="n">
        <v>44.99</v>
      </c>
      <c r="Z35" s="187"/>
      <c r="AA35" s="209"/>
      <c r="AB35" s="209"/>
      <c r="AC35" s="209"/>
      <c r="AD35" s="191"/>
    </row>
    <row r="36" customFormat="false" ht="27.75" hidden="false" customHeight="true" outlineLevel="0" collapsed="false">
      <c r="A36" s="63" t="s">
        <v>502</v>
      </c>
      <c r="B36" s="77" t="n">
        <v>1</v>
      </c>
      <c r="C36" s="189" t="s">
        <v>399</v>
      </c>
      <c r="D36" s="300"/>
      <c r="E36" s="187"/>
      <c r="F36" s="209"/>
      <c r="G36" s="209"/>
      <c r="H36" s="209"/>
      <c r="I36" s="191"/>
      <c r="Q36" s="326" t="s">
        <v>502</v>
      </c>
      <c r="T36" s="63" t="n">
        <v>1537</v>
      </c>
      <c r="X36" s="189" t="s">
        <v>398</v>
      </c>
      <c r="Y36" s="300" t="n">
        <v>118.17</v>
      </c>
      <c r="Z36" s="187"/>
      <c r="AA36" s="209"/>
      <c r="AB36" s="209"/>
      <c r="AC36" s="209"/>
      <c r="AD36" s="191"/>
    </row>
    <row r="37" customFormat="false" ht="27.75" hidden="false" customHeight="true" outlineLevel="0" collapsed="false">
      <c r="A37" s="63" t="s">
        <v>502</v>
      </c>
      <c r="B37" s="77" t="n">
        <v>1</v>
      </c>
      <c r="C37" s="189" t="s">
        <v>400</v>
      </c>
      <c r="D37" s="300" t="n">
        <v>1249.16</v>
      </c>
      <c r="E37" s="187" t="n">
        <v>5</v>
      </c>
      <c r="F37" s="209" t="s">
        <v>204</v>
      </c>
      <c r="G37" s="209" t="s">
        <v>175</v>
      </c>
      <c r="H37" s="209" t="s">
        <v>246</v>
      </c>
      <c r="I37" s="191" t="n">
        <v>45931</v>
      </c>
      <c r="Q37" s="326" t="s">
        <v>502</v>
      </c>
      <c r="T37" s="63" t="n">
        <v>1537</v>
      </c>
      <c r="X37" s="189" t="s">
        <v>399</v>
      </c>
      <c r="Y37" s="300"/>
      <c r="Z37" s="187"/>
      <c r="AA37" s="209"/>
      <c r="AB37" s="209"/>
      <c r="AC37" s="209"/>
      <c r="AD37" s="191"/>
    </row>
    <row r="38" customFormat="false" ht="27.75" hidden="false" customHeight="true" outlineLevel="0" collapsed="false">
      <c r="A38" s="63" t="s">
        <v>502</v>
      </c>
      <c r="B38" s="77" t="n">
        <v>1</v>
      </c>
      <c r="C38" s="199" t="s">
        <v>401</v>
      </c>
      <c r="D38" s="313" t="n">
        <f aca="false">SUM(D39:D42)</f>
        <v>8800</v>
      </c>
      <c r="E38" s="237"/>
      <c r="F38" s="245"/>
      <c r="G38" s="245"/>
      <c r="H38" s="245"/>
      <c r="I38" s="242"/>
      <c r="Q38" s="326" t="s">
        <v>502</v>
      </c>
      <c r="T38" s="63" t="n">
        <v>1537</v>
      </c>
      <c r="X38" s="189" t="s">
        <v>400</v>
      </c>
      <c r="Y38" s="300" t="n">
        <v>1249.16</v>
      </c>
      <c r="Z38" s="187" t="n">
        <v>5</v>
      </c>
      <c r="AA38" s="209" t="s">
        <v>204</v>
      </c>
      <c r="AB38" s="209" t="s">
        <v>175</v>
      </c>
      <c r="AC38" s="209" t="s">
        <v>246</v>
      </c>
      <c r="AD38" s="191" t="n">
        <v>45931</v>
      </c>
    </row>
    <row r="39" customFormat="false" ht="27.75" hidden="false" customHeight="true" outlineLevel="0" collapsed="false">
      <c r="A39" s="63" t="s">
        <v>502</v>
      </c>
      <c r="B39" s="77" t="n">
        <v>1</v>
      </c>
      <c r="C39" s="189" t="s">
        <v>399</v>
      </c>
      <c r="D39" s="300" t="n">
        <v>2000</v>
      </c>
      <c r="E39" s="187"/>
      <c r="F39" s="209"/>
      <c r="G39" s="209"/>
      <c r="H39" s="209"/>
      <c r="I39" s="191"/>
      <c r="Q39" s="326" t="s">
        <v>502</v>
      </c>
      <c r="T39" s="63" t="n">
        <v>1537</v>
      </c>
      <c r="X39" s="199" t="s">
        <v>401</v>
      </c>
      <c r="Y39" s="313" t="n">
        <f aca="false">SUM(Y40:Y43)</f>
        <v>8800</v>
      </c>
      <c r="Z39" s="237"/>
      <c r="AA39" s="245"/>
      <c r="AB39" s="245"/>
      <c r="AC39" s="245"/>
      <c r="AD39" s="242"/>
    </row>
    <row r="40" customFormat="false" ht="27.75" hidden="false" customHeight="true" outlineLevel="0" collapsed="false">
      <c r="A40" s="63" t="s">
        <v>502</v>
      </c>
      <c r="B40" s="77" t="n">
        <v>1</v>
      </c>
      <c r="C40" s="189" t="s">
        <v>504</v>
      </c>
      <c r="D40" s="300" t="n">
        <v>200</v>
      </c>
      <c r="E40" s="187"/>
      <c r="F40" s="209"/>
      <c r="G40" s="209"/>
      <c r="H40" s="209"/>
      <c r="I40" s="191"/>
      <c r="Q40" s="326" t="s">
        <v>502</v>
      </c>
      <c r="T40" s="63" t="n">
        <v>1537</v>
      </c>
      <c r="X40" s="189" t="s">
        <v>505</v>
      </c>
      <c r="Y40" s="300" t="n">
        <v>2000</v>
      </c>
      <c r="Z40" s="187"/>
      <c r="AA40" s="209"/>
      <c r="AB40" s="209"/>
      <c r="AC40" s="209"/>
      <c r="AD40" s="191"/>
    </row>
    <row r="41" customFormat="false" ht="27.75" hidden="false" customHeight="true" outlineLevel="0" collapsed="false">
      <c r="A41" s="63" t="s">
        <v>502</v>
      </c>
      <c r="B41" s="77" t="n">
        <v>1</v>
      </c>
      <c r="C41" s="189" t="s">
        <v>240</v>
      </c>
      <c r="D41" s="300" t="n">
        <v>1000</v>
      </c>
      <c r="E41" s="187"/>
      <c r="F41" s="209"/>
      <c r="G41" s="209"/>
      <c r="H41" s="209"/>
      <c r="I41" s="191"/>
      <c r="Q41" s="326" t="s">
        <v>502</v>
      </c>
      <c r="T41" s="63" t="n">
        <v>1537</v>
      </c>
      <c r="X41" s="189" t="s">
        <v>504</v>
      </c>
      <c r="Y41" s="300" t="n">
        <v>200</v>
      </c>
      <c r="Z41" s="187"/>
      <c r="AA41" s="209"/>
      <c r="AB41" s="209"/>
      <c r="AC41" s="209"/>
      <c r="AD41" s="191"/>
    </row>
    <row r="42" customFormat="false" ht="27.75" hidden="false" customHeight="true" outlineLevel="0" collapsed="false">
      <c r="A42" s="63" t="s">
        <v>502</v>
      </c>
      <c r="B42" s="77" t="n">
        <v>1</v>
      </c>
      <c r="C42" s="189" t="s">
        <v>403</v>
      </c>
      <c r="D42" s="300" t="n">
        <v>5600</v>
      </c>
      <c r="E42" s="187"/>
      <c r="F42" s="209"/>
      <c r="G42" s="209"/>
      <c r="H42" s="209"/>
      <c r="I42" s="191"/>
      <c r="Q42" s="326" t="s">
        <v>502</v>
      </c>
      <c r="T42" s="63" t="n">
        <v>1537</v>
      </c>
      <c r="X42" s="189" t="s">
        <v>240</v>
      </c>
      <c r="Y42" s="300" t="n">
        <v>1000</v>
      </c>
      <c r="Z42" s="187"/>
      <c r="AA42" s="209"/>
      <c r="AB42" s="209"/>
      <c r="AC42" s="209"/>
      <c r="AD42" s="191"/>
    </row>
    <row r="43" customFormat="false" ht="27.75" hidden="false" customHeight="true" outlineLevel="0" collapsed="false">
      <c r="A43" s="63" t="s">
        <v>502</v>
      </c>
      <c r="B43" s="77" t="n">
        <v>1</v>
      </c>
      <c r="C43" s="199" t="s">
        <v>404</v>
      </c>
      <c r="D43" s="313" t="n">
        <f aca="false">SUM(D44:D45)</f>
        <v>565.75</v>
      </c>
      <c r="E43" s="237"/>
      <c r="F43" s="245"/>
      <c r="G43" s="245"/>
      <c r="H43" s="245"/>
      <c r="I43" s="242"/>
      <c r="Q43" s="326" t="s">
        <v>502</v>
      </c>
      <c r="T43" s="63" t="n">
        <v>1537</v>
      </c>
      <c r="X43" s="189" t="s">
        <v>403</v>
      </c>
      <c r="Y43" s="300" t="n">
        <v>5600</v>
      </c>
      <c r="Z43" s="187"/>
      <c r="AA43" s="209"/>
      <c r="AB43" s="209"/>
      <c r="AC43" s="209"/>
      <c r="AD43" s="191"/>
    </row>
    <row r="44" customFormat="false" ht="27.75" hidden="false" customHeight="true" outlineLevel="0" collapsed="false">
      <c r="A44" s="63" t="s">
        <v>502</v>
      </c>
      <c r="B44" s="77" t="n">
        <v>1</v>
      </c>
      <c r="C44" s="189" t="s">
        <v>242</v>
      </c>
      <c r="D44" s="300" t="n">
        <v>220.75</v>
      </c>
      <c r="E44" s="187" t="n">
        <v>25</v>
      </c>
      <c r="F44" s="209" t="s">
        <v>187</v>
      </c>
      <c r="G44" s="209"/>
      <c r="H44" s="209" t="s">
        <v>434</v>
      </c>
      <c r="I44" s="191"/>
      <c r="Q44" s="326" t="s">
        <v>502</v>
      </c>
      <c r="T44" s="63" t="n">
        <v>1537</v>
      </c>
      <c r="X44" s="199" t="s">
        <v>404</v>
      </c>
      <c r="Y44" s="313" t="n">
        <f aca="false">SUM(Y45:Y46)</f>
        <v>565.75</v>
      </c>
      <c r="Z44" s="237"/>
      <c r="AA44" s="245"/>
      <c r="AB44" s="245"/>
      <c r="AC44" s="245"/>
      <c r="AD44" s="242"/>
    </row>
    <row r="45" customFormat="false" ht="27.75" hidden="false" customHeight="true" outlineLevel="0" collapsed="false">
      <c r="A45" s="63" t="s">
        <v>502</v>
      </c>
      <c r="B45" s="77" t="n">
        <v>1</v>
      </c>
      <c r="C45" s="248" t="s">
        <v>405</v>
      </c>
      <c r="D45" s="300" t="n">
        <v>345</v>
      </c>
      <c r="E45" s="187" t="n">
        <v>25</v>
      </c>
      <c r="F45" s="209" t="s">
        <v>187</v>
      </c>
      <c r="G45" s="209"/>
      <c r="H45" s="209" t="s">
        <v>428</v>
      </c>
      <c r="I45" s="191"/>
      <c r="Q45" s="326" t="s">
        <v>502</v>
      </c>
      <c r="T45" s="63" t="n">
        <v>1537</v>
      </c>
      <c r="X45" s="189" t="s">
        <v>242</v>
      </c>
      <c r="Y45" s="300" t="n">
        <v>220.75</v>
      </c>
      <c r="Z45" s="187" t="n">
        <v>25</v>
      </c>
      <c r="AA45" s="209" t="s">
        <v>187</v>
      </c>
      <c r="AB45" s="209"/>
      <c r="AC45" s="209" t="s">
        <v>434</v>
      </c>
      <c r="AD45" s="191"/>
    </row>
    <row r="46" customFormat="false" ht="15" hidden="false" customHeight="true" outlineLevel="0" collapsed="false">
      <c r="A46" s="63" t="s">
        <v>502</v>
      </c>
      <c r="B46" s="77" t="n">
        <v>1</v>
      </c>
      <c r="C46" s="199" t="s">
        <v>150</v>
      </c>
      <c r="D46" s="313" t="n">
        <f aca="false">SUM(D47)</f>
        <v>295.5</v>
      </c>
      <c r="E46" s="237"/>
      <c r="F46" s="245"/>
      <c r="G46" s="245"/>
      <c r="H46" s="245"/>
      <c r="I46" s="242"/>
      <c r="X46" s="248" t="s">
        <v>405</v>
      </c>
      <c r="Y46" s="300" t="n">
        <v>345</v>
      </c>
      <c r="Z46" s="187" t="n">
        <v>25</v>
      </c>
      <c r="AA46" s="209" t="s">
        <v>187</v>
      </c>
      <c r="AB46" s="209"/>
      <c r="AC46" s="209" t="s">
        <v>428</v>
      </c>
      <c r="AD46" s="191"/>
    </row>
    <row r="47" customFormat="false" ht="15" hidden="false" customHeight="true" outlineLevel="0" collapsed="false">
      <c r="A47" s="63" t="s">
        <v>502</v>
      </c>
      <c r="B47" s="77" t="n">
        <v>1</v>
      </c>
      <c r="C47" s="189" t="s">
        <v>406</v>
      </c>
      <c r="D47" s="300" t="n">
        <v>295.5</v>
      </c>
      <c r="E47" s="187" t="n">
        <v>25</v>
      </c>
      <c r="F47" s="209" t="s">
        <v>187</v>
      </c>
      <c r="G47" s="209"/>
      <c r="H47" s="209" t="s">
        <v>434</v>
      </c>
      <c r="I47" s="191"/>
      <c r="X47" s="199" t="s">
        <v>150</v>
      </c>
      <c r="Y47" s="313" t="n">
        <f aca="false">SUM(Y48)</f>
        <v>295.5</v>
      </c>
      <c r="Z47" s="237"/>
      <c r="AA47" s="245"/>
      <c r="AB47" s="245"/>
      <c r="AC47" s="245"/>
      <c r="AD47" s="242"/>
    </row>
    <row r="48" customFormat="false" ht="15" hidden="false" customHeight="true" outlineLevel="0" collapsed="false">
      <c r="A48" s="63" t="s">
        <v>502</v>
      </c>
      <c r="B48" s="77" t="n">
        <v>1</v>
      </c>
      <c r="C48" s="202" t="s">
        <v>408</v>
      </c>
      <c r="D48" s="319" t="n">
        <f aca="false">SUM(D49:D56)</f>
        <v>3589.79</v>
      </c>
      <c r="E48" s="250"/>
      <c r="F48" s="251"/>
      <c r="G48" s="251"/>
      <c r="H48" s="251"/>
      <c r="I48" s="252"/>
      <c r="X48" s="189" t="s">
        <v>406</v>
      </c>
      <c r="Y48" s="300" t="n">
        <v>295.5</v>
      </c>
      <c r="Z48" s="187" t="n">
        <v>25</v>
      </c>
      <c r="AA48" s="209" t="s">
        <v>187</v>
      </c>
      <c r="AB48" s="209"/>
      <c r="AC48" s="209" t="s">
        <v>434</v>
      </c>
      <c r="AD48" s="191"/>
    </row>
    <row r="49" customFormat="false" ht="15" hidden="false" customHeight="true" outlineLevel="0" collapsed="false">
      <c r="A49" s="63" t="s">
        <v>502</v>
      </c>
      <c r="B49" s="77" t="n">
        <v>1</v>
      </c>
      <c r="C49" s="189" t="s">
        <v>275</v>
      </c>
      <c r="D49" s="300" t="n">
        <v>1925.41</v>
      </c>
      <c r="E49" s="187" t="n">
        <v>5</v>
      </c>
      <c r="F49" s="209" t="s">
        <v>204</v>
      </c>
      <c r="G49" s="209" t="s">
        <v>175</v>
      </c>
      <c r="H49" s="209" t="s">
        <v>246</v>
      </c>
      <c r="I49" s="191" t="n">
        <v>45931</v>
      </c>
      <c r="X49" s="202" t="s">
        <v>408</v>
      </c>
      <c r="Y49" s="319" t="n">
        <f aca="false">SUM(Y50:Y57)</f>
        <v>3589.79</v>
      </c>
      <c r="Z49" s="250"/>
      <c r="AA49" s="251"/>
      <c r="AB49" s="251"/>
      <c r="AC49" s="251"/>
      <c r="AD49" s="252"/>
    </row>
    <row r="50" customFormat="false" ht="15" hidden="false" customHeight="true" outlineLevel="0" collapsed="false">
      <c r="C50" s="189" t="s">
        <v>409</v>
      </c>
      <c r="D50" s="300"/>
      <c r="E50" s="187"/>
      <c r="F50" s="209"/>
      <c r="G50" s="209"/>
      <c r="H50" s="209"/>
      <c r="I50" s="191"/>
      <c r="X50" s="189" t="s">
        <v>275</v>
      </c>
      <c r="Y50" s="300" t="n">
        <v>1925.41</v>
      </c>
      <c r="Z50" s="187" t="n">
        <v>5</v>
      </c>
      <c r="AA50" s="209" t="s">
        <v>204</v>
      </c>
      <c r="AB50" s="209" t="s">
        <v>175</v>
      </c>
      <c r="AC50" s="209" t="s">
        <v>246</v>
      </c>
      <c r="AD50" s="191" t="n">
        <v>45931</v>
      </c>
    </row>
    <row r="51" customFormat="false" ht="15" hidden="false" customHeight="true" outlineLevel="0" collapsed="false">
      <c r="C51" s="189" t="s">
        <v>276</v>
      </c>
      <c r="D51" s="300" t="n">
        <v>80</v>
      </c>
      <c r="E51" s="187"/>
      <c r="F51" s="209"/>
      <c r="G51" s="209"/>
      <c r="H51" s="209"/>
      <c r="I51" s="191"/>
      <c r="X51" s="189" t="s">
        <v>409</v>
      </c>
      <c r="Y51" s="300"/>
      <c r="Z51" s="187"/>
      <c r="AA51" s="209"/>
      <c r="AB51" s="209"/>
      <c r="AC51" s="209"/>
      <c r="AD51" s="191"/>
    </row>
    <row r="52" customFormat="false" ht="15" hidden="false" customHeight="true" outlineLevel="0" collapsed="false">
      <c r="C52" s="189" t="s">
        <v>410</v>
      </c>
      <c r="D52" s="300" t="n">
        <v>85.25</v>
      </c>
      <c r="E52" s="187" t="n">
        <v>25</v>
      </c>
      <c r="F52" s="209"/>
      <c r="G52" s="209"/>
      <c r="H52" s="209"/>
      <c r="I52" s="191"/>
      <c r="X52" s="189" t="s">
        <v>276</v>
      </c>
      <c r="Y52" s="300" t="n">
        <v>80</v>
      </c>
      <c r="Z52" s="187"/>
      <c r="AA52" s="209"/>
      <c r="AB52" s="209"/>
      <c r="AC52" s="209"/>
      <c r="AD52" s="191"/>
    </row>
    <row r="53" customFormat="false" ht="15" hidden="false" customHeight="true" outlineLevel="0" collapsed="false">
      <c r="C53" s="189" t="s">
        <v>278</v>
      </c>
      <c r="D53" s="300" t="n">
        <v>209.13</v>
      </c>
      <c r="E53" s="191" t="s">
        <v>250</v>
      </c>
      <c r="F53" s="209"/>
      <c r="G53" s="209"/>
      <c r="H53" s="209"/>
      <c r="I53" s="191"/>
      <c r="X53" s="189" t="s">
        <v>410</v>
      </c>
      <c r="Y53" s="300" t="n">
        <v>85.25</v>
      </c>
      <c r="Z53" s="187" t="n">
        <v>25</v>
      </c>
      <c r="AA53" s="209"/>
      <c r="AB53" s="209"/>
      <c r="AC53" s="209"/>
      <c r="AD53" s="191"/>
    </row>
    <row r="54" customFormat="false" ht="15" hidden="false" customHeight="true" outlineLevel="0" collapsed="false">
      <c r="C54" s="189" t="s">
        <v>411</v>
      </c>
      <c r="D54" s="300" t="n">
        <v>200</v>
      </c>
      <c r="E54" s="187" t="n">
        <v>25</v>
      </c>
      <c r="F54" s="209"/>
      <c r="G54" s="209"/>
      <c r="H54" s="209"/>
      <c r="I54" s="191"/>
      <c r="X54" s="189" t="s">
        <v>278</v>
      </c>
      <c r="Y54" s="300" t="n">
        <v>209.13</v>
      </c>
      <c r="Z54" s="191" t="s">
        <v>250</v>
      </c>
      <c r="AA54" s="209"/>
      <c r="AB54" s="209"/>
      <c r="AC54" s="209"/>
      <c r="AD54" s="191"/>
    </row>
    <row r="55" customFormat="false" ht="15" hidden="false" customHeight="true" outlineLevel="0" collapsed="false">
      <c r="C55" s="189" t="s">
        <v>412</v>
      </c>
      <c r="D55" s="300" t="n">
        <v>900</v>
      </c>
      <c r="E55" s="187" t="n">
        <v>20</v>
      </c>
      <c r="F55" s="209"/>
      <c r="G55" s="209"/>
      <c r="H55" s="209"/>
      <c r="I55" s="191"/>
      <c r="X55" s="189" t="s">
        <v>411</v>
      </c>
      <c r="Y55" s="300" t="n">
        <v>200</v>
      </c>
      <c r="Z55" s="187" t="n">
        <v>25</v>
      </c>
      <c r="AA55" s="209"/>
      <c r="AB55" s="209"/>
      <c r="AC55" s="209"/>
      <c r="AD55" s="191"/>
    </row>
    <row r="56" customFormat="false" ht="15" hidden="false" customHeight="true" outlineLevel="0" collapsed="false">
      <c r="C56" s="253" t="s">
        <v>27</v>
      </c>
      <c r="D56" s="313" t="n">
        <f aca="false">D57</f>
        <v>190</v>
      </c>
      <c r="E56" s="237"/>
      <c r="F56" s="237"/>
      <c r="G56" s="237"/>
      <c r="H56" s="237"/>
      <c r="I56" s="239"/>
      <c r="X56" s="189" t="s">
        <v>412</v>
      </c>
      <c r="Y56" s="300" t="n">
        <v>900</v>
      </c>
      <c r="Z56" s="187" t="n">
        <v>20</v>
      </c>
      <c r="AA56" s="209"/>
      <c r="AB56" s="209"/>
      <c r="AC56" s="209"/>
      <c r="AD56" s="191"/>
    </row>
    <row r="57" customFormat="false" ht="15" hidden="false" customHeight="true" outlineLevel="0" collapsed="false">
      <c r="C57" s="156" t="s">
        <v>413</v>
      </c>
      <c r="D57" s="138" t="n">
        <v>190</v>
      </c>
      <c r="E57" s="255" t="n">
        <v>5</v>
      </c>
      <c r="F57" s="209" t="s">
        <v>204</v>
      </c>
      <c r="G57" s="209" t="s">
        <v>175</v>
      </c>
      <c r="H57" s="209" t="s">
        <v>246</v>
      </c>
      <c r="I57" s="191" t="n">
        <v>45962</v>
      </c>
      <c r="X57" s="253" t="s">
        <v>27</v>
      </c>
      <c r="Y57" s="313" t="n">
        <f aca="false">Y58</f>
        <v>190</v>
      </c>
      <c r="Z57" s="237"/>
      <c r="AA57" s="237"/>
      <c r="AB57" s="237"/>
      <c r="AC57" s="237"/>
      <c r="AD57" s="239"/>
    </row>
    <row r="58" customFormat="false" ht="15" hidden="false" customHeight="true" outlineLevel="0" collapsed="false">
      <c r="C58" s="256" t="s">
        <v>414</v>
      </c>
      <c r="D58" s="320" t="n">
        <f aca="false">SUM(D7,D24,D38,D43,D46,D48)</f>
        <v>53490.8</v>
      </c>
      <c r="E58" s="258"/>
      <c r="F58" s="258"/>
      <c r="G58" s="258"/>
      <c r="H58" s="258"/>
      <c r="I58" s="258"/>
      <c r="X58" s="156" t="s">
        <v>413</v>
      </c>
      <c r="Y58" s="138" t="n">
        <v>190</v>
      </c>
      <c r="Z58" s="255" t="n">
        <v>5</v>
      </c>
      <c r="AA58" s="209" t="s">
        <v>204</v>
      </c>
      <c r="AB58" s="209" t="s">
        <v>175</v>
      </c>
      <c r="AC58" s="209" t="s">
        <v>246</v>
      </c>
      <c r="AD58" s="191" t="n">
        <v>45962</v>
      </c>
    </row>
    <row r="59" customFormat="false" ht="15" hidden="false" customHeight="true" outlineLevel="0" collapsed="false">
      <c r="C59" s="256" t="s">
        <v>415</v>
      </c>
      <c r="D59" s="321" t="n">
        <f aca="false">T61</f>
        <v>62789</v>
      </c>
      <c r="E59" s="261"/>
      <c r="F59" s="261"/>
      <c r="G59" s="261"/>
      <c r="H59" s="261"/>
      <c r="I59" s="261"/>
      <c r="X59" s="256" t="s">
        <v>414</v>
      </c>
      <c r="Y59" s="320" t="n">
        <f aca="false">SUM(Y8,Y25,Y39,Y44,Y47,Y49)</f>
        <v>32191.8</v>
      </c>
      <c r="Z59" s="258"/>
      <c r="AA59" s="258"/>
      <c r="AB59" s="258"/>
      <c r="AC59" s="258"/>
      <c r="AD59" s="258"/>
    </row>
    <row r="60" customFormat="false" ht="15" hidden="false" customHeight="true" outlineLevel="0" collapsed="false">
      <c r="C60" s="262" t="s">
        <v>416</v>
      </c>
      <c r="D60" s="322" t="n">
        <f aca="false">D59-D58</f>
        <v>9298.2</v>
      </c>
      <c r="E60" s="264"/>
      <c r="F60" s="264"/>
      <c r="G60" s="264"/>
      <c r="H60" s="264"/>
      <c r="I60" s="264"/>
      <c r="X60" s="256" t="s">
        <v>415</v>
      </c>
      <c r="Y60" s="321" t="n">
        <f aca="false">SUM(T3:T25)</f>
        <v>33660</v>
      </c>
      <c r="Z60" s="261"/>
      <c r="AA60" s="261"/>
      <c r="AB60" s="261"/>
      <c r="AC60" s="261"/>
      <c r="AD60" s="261"/>
    </row>
    <row r="61" customFormat="false" ht="15" hidden="false" customHeight="true" outlineLevel="0" collapsed="false">
      <c r="O61" s="315" t="s">
        <v>444</v>
      </c>
      <c r="P61" s="316"/>
      <c r="Q61" s="317"/>
      <c r="R61" s="317"/>
      <c r="S61" s="317"/>
      <c r="T61" s="318" t="n">
        <f aca="false">SUM(T3:T60)</f>
        <v>62789</v>
      </c>
      <c r="X61" s="262" t="s">
        <v>416</v>
      </c>
      <c r="Y61" s="322" t="n">
        <f aca="false">Y60-Y59</f>
        <v>1468.2</v>
      </c>
      <c r="Z61" s="264"/>
      <c r="AA61" s="264"/>
      <c r="AB61" s="264"/>
      <c r="AC61" s="264"/>
      <c r="AD61" s="264"/>
    </row>
  </sheetData>
  <mergeCells count="3">
    <mergeCell ref="J3:K3"/>
    <mergeCell ref="J6:K6"/>
    <mergeCell ref="J12:K12"/>
  </mergeCells>
  <dataValidations count="1">
    <dataValidation allowBlank="true" errorStyle="stop" operator="between" showDropDown="false" showErrorMessage="true" showInputMessage="true" sqref="F8:I57 AA9:AD58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63" width="12.29"/>
    <col collapsed="false" customWidth="true" hidden="false" outlineLevel="0" max="3" min="3" style="63" width="16.57"/>
    <col collapsed="false" customWidth="true" hidden="false" outlineLevel="0" max="4" min="4" style="63" width="19.42"/>
    <col collapsed="false" customWidth="true" hidden="false" outlineLevel="0" max="5" min="5" style="63" width="33.57"/>
    <col collapsed="false" customWidth="true" hidden="false" outlineLevel="0" max="7" min="6" style="63" width="17.42"/>
    <col collapsed="false" customWidth="true" hidden="false" outlineLevel="0" max="8" min="8" style="63" width="17.57"/>
    <col collapsed="false" customWidth="true" hidden="false" outlineLevel="0" max="16" min="12" style="63" width="12.57"/>
  </cols>
  <sheetData>
    <row r="1" customFormat="false" ht="15" hidden="false" customHeight="true" outlineLevel="0" collapsed="false">
      <c r="A1" s="77"/>
      <c r="B1" s="78"/>
      <c r="C1" s="78"/>
    </row>
    <row r="2" customFormat="false" ht="15" hidden="false" customHeight="true" outlineLevel="0" collapsed="false">
      <c r="D2" s="79"/>
      <c r="E2" s="80"/>
      <c r="F2" s="81"/>
      <c r="G2" s="80"/>
    </row>
    <row r="4" customFormat="false" ht="15" hidden="false" customHeight="true" outlineLevel="0" collapsed="false">
      <c r="B4" s="82" t="s">
        <v>254</v>
      </c>
      <c r="C4" s="82"/>
      <c r="D4" s="82"/>
      <c r="E4" s="82"/>
      <c r="F4" s="82"/>
      <c r="G4" s="82"/>
      <c r="H4" s="82"/>
      <c r="I4" s="83"/>
      <c r="J4" s="84" t="s">
        <v>255</v>
      </c>
      <c r="K4" s="84"/>
      <c r="L4" s="84"/>
      <c r="M4" s="84"/>
      <c r="N4" s="84"/>
      <c r="O4" s="84"/>
      <c r="P4" s="84"/>
    </row>
    <row r="5" customFormat="false" ht="15" hidden="false" customHeight="true" outlineLevel="0" collapsed="false">
      <c r="B5" s="85" t="s">
        <v>256</v>
      </c>
      <c r="C5" s="86" t="s">
        <v>257</v>
      </c>
      <c r="D5" s="85" t="s">
        <v>258</v>
      </c>
      <c r="E5" s="85" t="s">
        <v>259</v>
      </c>
      <c r="F5" s="85" t="s">
        <v>260</v>
      </c>
      <c r="G5" s="85" t="s">
        <v>261</v>
      </c>
      <c r="H5" s="85" t="s">
        <v>262</v>
      </c>
      <c r="J5" s="87" t="s">
        <v>263</v>
      </c>
      <c r="K5" s="87"/>
      <c r="L5" s="88" t="s">
        <v>264</v>
      </c>
      <c r="M5" s="88" t="s">
        <v>265</v>
      </c>
      <c r="N5" s="88" t="s">
        <v>266</v>
      </c>
      <c r="O5" s="87" t="s">
        <v>267</v>
      </c>
      <c r="P5" s="88" t="s">
        <v>268</v>
      </c>
    </row>
    <row r="6" customFormat="false" ht="15" hidden="true" customHeight="true" outlineLevel="0" collapsed="false">
      <c r="B6" s="89" t="n">
        <v>45782</v>
      </c>
      <c r="C6" s="90" t="s">
        <v>506</v>
      </c>
      <c r="D6" s="91" t="s">
        <v>313</v>
      </c>
      <c r="E6" s="91" t="s">
        <v>507</v>
      </c>
      <c r="F6" s="92" t="n">
        <v>750</v>
      </c>
      <c r="G6" s="93" t="s">
        <v>508</v>
      </c>
      <c r="H6" s="94" t="n">
        <v>45748</v>
      </c>
      <c r="J6" s="95" t="s">
        <v>269</v>
      </c>
      <c r="K6" s="96"/>
      <c r="L6" s="97" t="n">
        <v>7284</v>
      </c>
      <c r="M6" s="97" t="n">
        <v>16964.99</v>
      </c>
      <c r="N6" s="97" t="n">
        <v>16001.81</v>
      </c>
      <c r="O6" s="98" t="n">
        <f aca="false">M6-N6</f>
        <v>963.180000000002</v>
      </c>
      <c r="P6" s="99" t="n">
        <f aca="false">L6+O6</f>
        <v>8247.18</v>
      </c>
    </row>
    <row r="7" customFormat="false" ht="15" hidden="true" customHeight="true" outlineLevel="0" collapsed="false">
      <c r="B7" s="100" t="n">
        <v>45782</v>
      </c>
      <c r="C7" s="101" t="s">
        <v>506</v>
      </c>
      <c r="D7" s="102" t="s">
        <v>313</v>
      </c>
      <c r="E7" s="102" t="s">
        <v>509</v>
      </c>
      <c r="F7" s="103" t="n">
        <v>1250</v>
      </c>
      <c r="G7" s="101" t="s">
        <v>508</v>
      </c>
      <c r="H7" s="104" t="n">
        <v>45748</v>
      </c>
      <c r="J7" s="105" t="s">
        <v>28</v>
      </c>
      <c r="K7" s="106"/>
      <c r="L7" s="107" t="n">
        <v>8247.18</v>
      </c>
      <c r="M7" s="107" t="n">
        <v>22253.63</v>
      </c>
      <c r="N7" s="107" t="n">
        <v>17207.49</v>
      </c>
      <c r="O7" s="108" t="n">
        <f aca="false">M7-N7</f>
        <v>5046.14</v>
      </c>
      <c r="P7" s="109" t="n">
        <f aca="false">L7+O7</f>
        <v>13293.32</v>
      </c>
    </row>
    <row r="8" customFormat="false" ht="15" hidden="true" customHeight="true" outlineLevel="0" collapsed="false">
      <c r="B8" s="89" t="n">
        <v>45782</v>
      </c>
      <c r="C8" s="93" t="s">
        <v>506</v>
      </c>
      <c r="D8" s="91" t="s">
        <v>313</v>
      </c>
      <c r="E8" s="91" t="s">
        <v>203</v>
      </c>
      <c r="F8" s="92" t="n">
        <v>2000</v>
      </c>
      <c r="G8" s="93" t="s">
        <v>508</v>
      </c>
      <c r="H8" s="94" t="n">
        <v>45748</v>
      </c>
      <c r="J8" s="95" t="s">
        <v>31</v>
      </c>
      <c r="K8" s="96"/>
      <c r="L8" s="97" t="n">
        <v>13293.32</v>
      </c>
      <c r="M8" s="97" t="n">
        <v>16900</v>
      </c>
      <c r="N8" s="97" t="n">
        <v>20527.31</v>
      </c>
      <c r="O8" s="110" t="n">
        <f aca="false">M8-N8</f>
        <v>-3627.31</v>
      </c>
      <c r="P8" s="99" t="n">
        <f aca="false">L8+O8</f>
        <v>9666.01</v>
      </c>
    </row>
    <row r="9" customFormat="false" ht="15" hidden="true" customHeight="true" outlineLevel="0" collapsed="false">
      <c r="B9" s="100" t="n">
        <v>45782</v>
      </c>
      <c r="C9" s="101" t="s">
        <v>506</v>
      </c>
      <c r="D9" s="102" t="s">
        <v>313</v>
      </c>
      <c r="E9" s="102" t="s">
        <v>510</v>
      </c>
      <c r="F9" s="103" t="n">
        <v>1941.14</v>
      </c>
      <c r="G9" s="101" t="s">
        <v>173</v>
      </c>
      <c r="H9" s="104" t="n">
        <v>45748</v>
      </c>
      <c r="J9" s="105" t="s">
        <v>34</v>
      </c>
      <c r="K9" s="106"/>
      <c r="L9" s="107" t="n">
        <v>9666.01</v>
      </c>
      <c r="M9" s="107" t="n">
        <v>19175.97</v>
      </c>
      <c r="N9" s="107" t="n">
        <v>19900</v>
      </c>
      <c r="O9" s="111" t="n">
        <f aca="false">M9-N9</f>
        <v>-724.029999999999</v>
      </c>
      <c r="P9" s="109" t="n">
        <f aca="false">L9+O9</f>
        <v>8941.98</v>
      </c>
    </row>
    <row r="10" customFormat="false" ht="15" hidden="true" customHeight="true" outlineLevel="0" collapsed="false">
      <c r="B10" s="89" t="n">
        <v>45783</v>
      </c>
      <c r="C10" s="93" t="s">
        <v>506</v>
      </c>
      <c r="D10" s="91" t="s">
        <v>313</v>
      </c>
      <c r="E10" s="91" t="s">
        <v>83</v>
      </c>
      <c r="F10" s="92" t="n">
        <v>1500</v>
      </c>
      <c r="G10" s="93" t="s">
        <v>173</v>
      </c>
      <c r="H10" s="94" t="n">
        <v>45748</v>
      </c>
      <c r="J10" s="95" t="s">
        <v>38</v>
      </c>
      <c r="K10" s="96"/>
      <c r="L10" s="97" t="n">
        <v>8941.98</v>
      </c>
      <c r="M10" s="97" t="n">
        <f aca="false">M20</f>
        <v>21491.14</v>
      </c>
      <c r="N10" s="97" t="n">
        <f aca="false">M23</f>
        <v>17732.12</v>
      </c>
      <c r="O10" s="112" t="n">
        <f aca="false">M10-N10</f>
        <v>3759.02</v>
      </c>
      <c r="P10" s="113" t="n">
        <f aca="false">L10+O10</f>
        <v>12701</v>
      </c>
    </row>
    <row r="11" customFormat="false" ht="15" hidden="true" customHeight="true" outlineLevel="0" collapsed="false">
      <c r="B11" s="114" t="n">
        <v>45783</v>
      </c>
      <c r="C11" s="115" t="s">
        <v>506</v>
      </c>
      <c r="D11" s="116" t="s">
        <v>511</v>
      </c>
      <c r="E11" s="116" t="s">
        <v>512</v>
      </c>
      <c r="F11" s="117" t="n">
        <v>1869.2</v>
      </c>
      <c r="G11" s="115" t="s">
        <v>173</v>
      </c>
      <c r="H11" s="118" t="n">
        <v>45748</v>
      </c>
      <c r="J11" s="105" t="s">
        <v>41</v>
      </c>
      <c r="K11" s="106"/>
      <c r="L11" s="107"/>
      <c r="M11" s="107"/>
      <c r="N11" s="107"/>
      <c r="O11" s="119"/>
      <c r="P11" s="107"/>
    </row>
    <row r="12" customFormat="false" ht="15" hidden="true" customHeight="true" outlineLevel="0" collapsed="false">
      <c r="B12" s="120" t="n">
        <v>45786</v>
      </c>
      <c r="C12" s="121" t="s">
        <v>506</v>
      </c>
      <c r="D12" s="122" t="s">
        <v>513</v>
      </c>
      <c r="E12" s="122" t="s">
        <v>514</v>
      </c>
      <c r="F12" s="123" t="n">
        <v>198.77</v>
      </c>
      <c r="G12" s="121" t="s">
        <v>508</v>
      </c>
      <c r="H12" s="124" t="n">
        <v>45778</v>
      </c>
      <c r="J12" s="95" t="s">
        <v>43</v>
      </c>
      <c r="K12" s="96"/>
      <c r="L12" s="97"/>
      <c r="M12" s="97"/>
      <c r="N12" s="97"/>
      <c r="O12" s="112"/>
      <c r="P12" s="113"/>
    </row>
    <row r="13" customFormat="false" ht="15" hidden="true" customHeight="true" outlineLevel="0" collapsed="false">
      <c r="B13" s="114" t="n">
        <v>45786</v>
      </c>
      <c r="C13" s="115" t="s">
        <v>506</v>
      </c>
      <c r="D13" s="116" t="s">
        <v>304</v>
      </c>
      <c r="E13" s="116" t="s">
        <v>515</v>
      </c>
      <c r="F13" s="117" t="n">
        <v>645.01</v>
      </c>
      <c r="G13" s="115" t="s">
        <v>508</v>
      </c>
      <c r="H13" s="118" t="n">
        <v>45748</v>
      </c>
      <c r="J13" s="105" t="s">
        <v>44</v>
      </c>
      <c r="K13" s="106"/>
      <c r="L13" s="107"/>
      <c r="M13" s="107"/>
      <c r="N13" s="107"/>
      <c r="O13" s="119"/>
      <c r="P13" s="107"/>
    </row>
    <row r="14" customFormat="false" ht="15" hidden="true" customHeight="true" outlineLevel="0" collapsed="false">
      <c r="B14" s="120" t="n">
        <v>45786</v>
      </c>
      <c r="C14" s="121" t="s">
        <v>506</v>
      </c>
      <c r="D14" s="122" t="s">
        <v>516</v>
      </c>
      <c r="E14" s="122" t="s">
        <v>276</v>
      </c>
      <c r="F14" s="123" t="n">
        <v>30</v>
      </c>
      <c r="G14" s="121" t="s">
        <v>173</v>
      </c>
      <c r="H14" s="124" t="n">
        <v>45778</v>
      </c>
      <c r="J14" s="95" t="s">
        <v>45</v>
      </c>
      <c r="K14" s="96"/>
      <c r="L14" s="97"/>
      <c r="M14" s="97"/>
      <c r="N14" s="97"/>
      <c r="O14" s="112"/>
      <c r="P14" s="113"/>
    </row>
    <row r="15" customFormat="false" ht="15" hidden="true" customHeight="true" outlineLevel="0" collapsed="false">
      <c r="B15" s="114" t="n">
        <v>45789</v>
      </c>
      <c r="C15" s="115" t="s">
        <v>506</v>
      </c>
      <c r="D15" s="116" t="s">
        <v>516</v>
      </c>
      <c r="E15" s="116" t="s">
        <v>275</v>
      </c>
      <c r="F15" s="117" t="n">
        <v>2026.18</v>
      </c>
      <c r="G15" s="115" t="s">
        <v>508</v>
      </c>
      <c r="H15" s="118" t="n">
        <v>45748</v>
      </c>
      <c r="J15" s="105" t="s">
        <v>46</v>
      </c>
      <c r="K15" s="106"/>
      <c r="L15" s="107"/>
      <c r="M15" s="107"/>
      <c r="N15" s="107"/>
      <c r="O15" s="119"/>
      <c r="P15" s="107"/>
    </row>
    <row r="16" customFormat="false" ht="15" hidden="true" customHeight="true" outlineLevel="0" collapsed="false">
      <c r="B16" s="120" t="n">
        <v>45789</v>
      </c>
      <c r="C16" s="121" t="s">
        <v>506</v>
      </c>
      <c r="D16" s="122" t="s">
        <v>511</v>
      </c>
      <c r="E16" s="122" t="s">
        <v>517</v>
      </c>
      <c r="F16" s="123" t="n">
        <v>2500</v>
      </c>
      <c r="G16" s="121" t="s">
        <v>173</v>
      </c>
      <c r="H16" s="124" t="n">
        <v>45748</v>
      </c>
      <c r="J16" s="95" t="s">
        <v>47</v>
      </c>
      <c r="K16" s="96"/>
      <c r="L16" s="99"/>
      <c r="M16" s="99"/>
      <c r="N16" s="99"/>
      <c r="O16" s="125"/>
      <c r="P16" s="83"/>
    </row>
    <row r="17" customFormat="false" ht="15" hidden="true" customHeight="true" outlineLevel="0" collapsed="false">
      <c r="B17" s="114" t="n">
        <v>45789</v>
      </c>
      <c r="C17" s="115" t="s">
        <v>506</v>
      </c>
      <c r="D17" s="116" t="s">
        <v>516</v>
      </c>
      <c r="E17" s="116" t="s">
        <v>278</v>
      </c>
      <c r="F17" s="117" t="n">
        <v>198.89</v>
      </c>
      <c r="G17" s="115" t="s">
        <v>508</v>
      </c>
      <c r="H17" s="118" t="n">
        <v>45778</v>
      </c>
      <c r="J17" s="105" t="s">
        <v>48</v>
      </c>
      <c r="K17" s="106"/>
      <c r="L17" s="109"/>
      <c r="M17" s="109"/>
      <c r="N17" s="109"/>
      <c r="O17" s="108"/>
      <c r="P17" s="109"/>
    </row>
    <row r="18" customFormat="false" ht="15" hidden="true" customHeight="true" outlineLevel="0" collapsed="false">
      <c r="B18" s="120" t="n">
        <v>45789</v>
      </c>
      <c r="C18" s="121" t="s">
        <v>506</v>
      </c>
      <c r="D18" s="122" t="s">
        <v>516</v>
      </c>
      <c r="E18" s="122" t="s">
        <v>518</v>
      </c>
      <c r="F18" s="123" t="n">
        <v>210</v>
      </c>
      <c r="G18" s="121" t="s">
        <v>173</v>
      </c>
      <c r="H18" s="124" t="n">
        <v>45778</v>
      </c>
    </row>
    <row r="19" customFormat="false" ht="15" hidden="true" customHeight="true" outlineLevel="0" collapsed="false">
      <c r="B19" s="114" t="n">
        <v>45792</v>
      </c>
      <c r="C19" s="115" t="s">
        <v>506</v>
      </c>
      <c r="D19" s="116" t="s">
        <v>519</v>
      </c>
      <c r="E19" s="116" t="s">
        <v>520</v>
      </c>
      <c r="F19" s="117" t="n">
        <v>211.01</v>
      </c>
      <c r="G19" s="115" t="s">
        <v>508</v>
      </c>
      <c r="H19" s="118" t="n">
        <v>45778</v>
      </c>
      <c r="J19" s="84" t="s">
        <v>270</v>
      </c>
      <c r="K19" s="84"/>
      <c r="L19" s="84"/>
      <c r="M19" s="84"/>
    </row>
    <row r="20" customFormat="false" ht="15" hidden="true" customHeight="true" outlineLevel="0" collapsed="false">
      <c r="B20" s="89" t="n">
        <v>45792</v>
      </c>
      <c r="C20" s="93" t="s">
        <v>506</v>
      </c>
      <c r="D20" s="91" t="s">
        <v>313</v>
      </c>
      <c r="E20" s="91" t="s">
        <v>182</v>
      </c>
      <c r="F20" s="92" t="n">
        <v>900</v>
      </c>
      <c r="G20" s="93" t="s">
        <v>173</v>
      </c>
      <c r="H20" s="94" t="n">
        <v>45778</v>
      </c>
      <c r="J20" s="87" t="s">
        <v>271</v>
      </c>
      <c r="K20" s="126"/>
      <c r="L20" s="126"/>
      <c r="M20" s="127" t="n">
        <f aca="false">SUM(M21:M22)</f>
        <v>21491.14</v>
      </c>
    </row>
    <row r="21" customFormat="false" ht="15" hidden="true" customHeight="true" outlineLevel="0" collapsed="false">
      <c r="B21" s="100" t="n">
        <v>45793</v>
      </c>
      <c r="C21" s="101" t="s">
        <v>506</v>
      </c>
      <c r="D21" s="102" t="s">
        <v>313</v>
      </c>
      <c r="E21" s="102" t="s">
        <v>183</v>
      </c>
      <c r="F21" s="103" t="n">
        <v>600</v>
      </c>
      <c r="G21" s="101" t="s">
        <v>173</v>
      </c>
      <c r="H21" s="104" t="n">
        <v>45778</v>
      </c>
      <c r="J21" s="96" t="s">
        <v>272</v>
      </c>
      <c r="K21" s="96"/>
      <c r="L21" s="96"/>
      <c r="M21" s="99" t="n">
        <f aca="false">SUM(F6:F10,F20:F22,F27:F28,F30,F32,F36,F37,F39,F40,F41,F42)</f>
        <v>20291.14</v>
      </c>
    </row>
    <row r="22" customFormat="false" ht="15" hidden="true" customHeight="true" outlineLevel="0" collapsed="false">
      <c r="B22" s="89" t="n">
        <v>45797</v>
      </c>
      <c r="C22" s="93" t="s">
        <v>506</v>
      </c>
      <c r="D22" s="91" t="s">
        <v>313</v>
      </c>
      <c r="E22" s="91" t="s">
        <v>201</v>
      </c>
      <c r="F22" s="92" t="n">
        <v>750</v>
      </c>
      <c r="G22" s="93" t="s">
        <v>508</v>
      </c>
      <c r="H22" s="94" t="n">
        <v>45778</v>
      </c>
      <c r="J22" s="96" t="s">
        <v>273</v>
      </c>
      <c r="K22" s="96"/>
      <c r="L22" s="96"/>
      <c r="M22" s="99" t="n">
        <f aca="false">SUM(F33)</f>
        <v>1200</v>
      </c>
    </row>
    <row r="23" customFormat="false" ht="15" hidden="true" customHeight="true" outlineLevel="0" collapsed="false">
      <c r="B23" s="114" t="n">
        <v>45797</v>
      </c>
      <c r="C23" s="115" t="s">
        <v>506</v>
      </c>
      <c r="D23" s="116" t="s">
        <v>511</v>
      </c>
      <c r="E23" s="116" t="s">
        <v>521</v>
      </c>
      <c r="F23" s="117" t="n">
        <v>2696</v>
      </c>
      <c r="G23" s="115" t="s">
        <v>173</v>
      </c>
      <c r="H23" s="118" t="n">
        <v>45778</v>
      </c>
      <c r="J23" s="87" t="s">
        <v>274</v>
      </c>
      <c r="K23" s="126"/>
      <c r="L23" s="126"/>
      <c r="M23" s="127" t="n">
        <f aca="false">SUM(M24:M28)</f>
        <v>17732.12</v>
      </c>
    </row>
    <row r="24" customFormat="false" ht="15" hidden="true" customHeight="true" outlineLevel="0" collapsed="false">
      <c r="B24" s="120" t="n">
        <v>45797</v>
      </c>
      <c r="C24" s="121" t="s">
        <v>506</v>
      </c>
      <c r="D24" s="122" t="s">
        <v>511</v>
      </c>
      <c r="E24" s="122" t="s">
        <v>522</v>
      </c>
      <c r="F24" s="123" t="n">
        <v>1696</v>
      </c>
      <c r="G24" s="121" t="s">
        <v>173</v>
      </c>
      <c r="H24" s="124" t="n">
        <v>45778</v>
      </c>
      <c r="J24" s="96" t="s">
        <v>523</v>
      </c>
      <c r="K24" s="96"/>
      <c r="L24" s="96"/>
      <c r="M24" s="99" t="n">
        <f aca="false">SUM(F11,F16,F23:F26,F31,F35)</f>
        <v>11283.97</v>
      </c>
    </row>
    <row r="25" customFormat="false" ht="15" hidden="true" customHeight="true" outlineLevel="0" collapsed="false">
      <c r="B25" s="114" t="n">
        <v>45798</v>
      </c>
      <c r="C25" s="115" t="s">
        <v>506</v>
      </c>
      <c r="D25" s="116" t="s">
        <v>511</v>
      </c>
      <c r="E25" s="116" t="s">
        <v>524</v>
      </c>
      <c r="F25" s="117" t="n">
        <v>52</v>
      </c>
      <c r="G25" s="115" t="s">
        <v>173</v>
      </c>
      <c r="H25" s="118" t="n">
        <v>45778</v>
      </c>
      <c r="J25" s="96" t="s">
        <v>388</v>
      </c>
      <c r="K25" s="96"/>
      <c r="L25" s="96"/>
      <c r="M25" s="99" t="n">
        <f aca="false">SUM(F12,F38)</f>
        <v>2974.82</v>
      </c>
    </row>
    <row r="26" customFormat="false" ht="15" hidden="true" customHeight="true" outlineLevel="0" collapsed="false">
      <c r="B26" s="120" t="n">
        <v>45798</v>
      </c>
      <c r="C26" s="121" t="s">
        <v>506</v>
      </c>
      <c r="D26" s="122" t="s">
        <v>511</v>
      </c>
      <c r="E26" s="122" t="s">
        <v>525</v>
      </c>
      <c r="F26" s="123" t="n">
        <v>454.52</v>
      </c>
      <c r="G26" s="121" t="s">
        <v>173</v>
      </c>
      <c r="H26" s="124" t="n">
        <v>45778</v>
      </c>
      <c r="J26" s="96" t="s">
        <v>526</v>
      </c>
      <c r="K26" s="96"/>
      <c r="L26" s="96"/>
      <c r="M26" s="99" t="n">
        <f aca="false">SUM(F14,F15,F17,F18,F29,F34)</f>
        <v>2617.31</v>
      </c>
    </row>
    <row r="27" customFormat="false" ht="15" hidden="true" customHeight="true" outlineLevel="0" collapsed="false">
      <c r="B27" s="100" t="n">
        <v>45799</v>
      </c>
      <c r="C27" s="101" t="s">
        <v>506</v>
      </c>
      <c r="D27" s="102" t="s">
        <v>313</v>
      </c>
      <c r="E27" s="102" t="s">
        <v>527</v>
      </c>
      <c r="F27" s="103" t="n">
        <v>800</v>
      </c>
      <c r="G27" s="101" t="s">
        <v>173</v>
      </c>
      <c r="H27" s="104" t="n">
        <v>45778</v>
      </c>
      <c r="J27" s="96" t="s">
        <v>304</v>
      </c>
      <c r="K27" s="96"/>
      <c r="L27" s="96"/>
      <c r="M27" s="99" t="n">
        <f aca="false">SUM(F13)</f>
        <v>645.01</v>
      </c>
    </row>
    <row r="28" customFormat="false" ht="15" hidden="true" customHeight="true" outlineLevel="0" collapsed="false">
      <c r="B28" s="89" t="n">
        <v>45799</v>
      </c>
      <c r="C28" s="93" t="s">
        <v>506</v>
      </c>
      <c r="D28" s="91" t="s">
        <v>313</v>
      </c>
      <c r="E28" s="91" t="s">
        <v>528</v>
      </c>
      <c r="F28" s="92" t="n">
        <v>1000</v>
      </c>
      <c r="G28" s="93" t="s">
        <v>173</v>
      </c>
      <c r="H28" s="94" t="n">
        <v>45748</v>
      </c>
      <c r="J28" s="96" t="s">
        <v>529</v>
      </c>
      <c r="K28" s="96"/>
      <c r="L28" s="96"/>
      <c r="M28" s="99" t="n">
        <f aca="false">SUM(F19)</f>
        <v>211.01</v>
      </c>
    </row>
    <row r="29" customFormat="false" ht="15" hidden="true" customHeight="true" outlineLevel="0" collapsed="false">
      <c r="B29" s="114" t="n">
        <v>45800</v>
      </c>
      <c r="C29" s="115" t="s">
        <v>506</v>
      </c>
      <c r="D29" s="116" t="s">
        <v>516</v>
      </c>
      <c r="E29" s="116" t="s">
        <v>530</v>
      </c>
      <c r="F29" s="117" t="n">
        <v>75</v>
      </c>
      <c r="G29" s="115" t="s">
        <v>173</v>
      </c>
      <c r="H29" s="118" t="n">
        <v>45778</v>
      </c>
      <c r="M29" s="83"/>
    </row>
    <row r="30" customFormat="false" ht="15" hidden="true" customHeight="true" outlineLevel="0" collapsed="false">
      <c r="B30" s="89" t="n">
        <v>45800</v>
      </c>
      <c r="C30" s="93" t="s">
        <v>506</v>
      </c>
      <c r="D30" s="91" t="s">
        <v>313</v>
      </c>
      <c r="E30" s="91" t="s">
        <v>531</v>
      </c>
      <c r="F30" s="92" t="n">
        <v>950</v>
      </c>
      <c r="G30" s="93" t="s">
        <v>173</v>
      </c>
      <c r="H30" s="94" t="n">
        <v>45658</v>
      </c>
    </row>
    <row r="31" customFormat="false" ht="15" hidden="true" customHeight="true" outlineLevel="0" collapsed="false">
      <c r="B31" s="114" t="n">
        <v>45802</v>
      </c>
      <c r="C31" s="115" t="s">
        <v>506</v>
      </c>
      <c r="D31" s="116" t="s">
        <v>511</v>
      </c>
      <c r="E31" s="116" t="s">
        <v>532</v>
      </c>
      <c r="F31" s="117" t="n">
        <v>1500</v>
      </c>
      <c r="G31" s="115" t="s">
        <v>173</v>
      </c>
      <c r="H31" s="118" t="n">
        <v>45778</v>
      </c>
    </row>
    <row r="32" customFormat="false" ht="15" hidden="true" customHeight="true" outlineLevel="0" collapsed="false">
      <c r="B32" s="89" t="n">
        <v>45803</v>
      </c>
      <c r="C32" s="93" t="s">
        <v>506</v>
      </c>
      <c r="D32" s="91" t="s">
        <v>313</v>
      </c>
      <c r="E32" s="91" t="s">
        <v>533</v>
      </c>
      <c r="F32" s="92" t="n">
        <v>1500</v>
      </c>
      <c r="G32" s="93" t="s">
        <v>508</v>
      </c>
      <c r="H32" s="94" t="n">
        <v>45778</v>
      </c>
    </row>
    <row r="33" customFormat="false" ht="15" hidden="true" customHeight="true" outlineLevel="0" collapsed="false">
      <c r="B33" s="100" t="n">
        <v>45803</v>
      </c>
      <c r="C33" s="101" t="s">
        <v>506</v>
      </c>
      <c r="D33" s="102" t="s">
        <v>534</v>
      </c>
      <c r="E33" s="102" t="s">
        <v>535</v>
      </c>
      <c r="F33" s="103" t="n">
        <v>1200</v>
      </c>
      <c r="G33" s="101" t="s">
        <v>508</v>
      </c>
      <c r="H33" s="104" t="n">
        <v>45778</v>
      </c>
    </row>
    <row r="34" customFormat="false" ht="15" hidden="true" customHeight="true" outlineLevel="0" collapsed="false">
      <c r="B34" s="120" t="n">
        <v>45803</v>
      </c>
      <c r="C34" s="121" t="s">
        <v>506</v>
      </c>
      <c r="D34" s="122" t="s">
        <v>516</v>
      </c>
      <c r="E34" s="122" t="s">
        <v>536</v>
      </c>
      <c r="F34" s="123" t="n">
        <v>77.24</v>
      </c>
      <c r="G34" s="121" t="s">
        <v>173</v>
      </c>
      <c r="H34" s="124" t="n">
        <v>45778</v>
      </c>
    </row>
    <row r="35" customFormat="false" ht="15" hidden="true" customHeight="true" outlineLevel="0" collapsed="false">
      <c r="B35" s="114" t="n">
        <v>45803</v>
      </c>
      <c r="C35" s="115" t="s">
        <v>506</v>
      </c>
      <c r="D35" s="116" t="s">
        <v>511</v>
      </c>
      <c r="E35" s="116" t="s">
        <v>537</v>
      </c>
      <c r="F35" s="117" t="n">
        <v>516.25</v>
      </c>
      <c r="G35" s="115" t="s">
        <v>173</v>
      </c>
      <c r="H35" s="118" t="n">
        <v>45778</v>
      </c>
    </row>
    <row r="36" customFormat="false" ht="15" hidden="true" customHeight="true" outlineLevel="0" collapsed="false">
      <c r="B36" s="89" t="n">
        <v>45803</v>
      </c>
      <c r="C36" s="93" t="s">
        <v>506</v>
      </c>
      <c r="D36" s="91" t="s">
        <v>313</v>
      </c>
      <c r="E36" s="91" t="s">
        <v>191</v>
      </c>
      <c r="F36" s="92" t="n">
        <v>1350</v>
      </c>
      <c r="G36" s="93" t="s">
        <v>508</v>
      </c>
      <c r="H36" s="94" t="n">
        <v>45748</v>
      </c>
    </row>
    <row r="37" customFormat="false" ht="15" hidden="true" customHeight="true" outlineLevel="0" collapsed="false">
      <c r="B37" s="100" t="n">
        <v>45804</v>
      </c>
      <c r="C37" s="101" t="s">
        <v>506</v>
      </c>
      <c r="D37" s="102" t="s">
        <v>313</v>
      </c>
      <c r="E37" s="102" t="s">
        <v>538</v>
      </c>
      <c r="F37" s="103" t="n">
        <v>500</v>
      </c>
      <c r="G37" s="101" t="s">
        <v>173</v>
      </c>
      <c r="H37" s="104" t="n">
        <v>45778</v>
      </c>
    </row>
    <row r="38" customFormat="false" ht="15" hidden="true" customHeight="true" outlineLevel="0" collapsed="false">
      <c r="B38" s="120" t="n">
        <v>45806</v>
      </c>
      <c r="C38" s="121" t="s">
        <v>506</v>
      </c>
      <c r="D38" s="122" t="s">
        <v>513</v>
      </c>
      <c r="E38" s="122" t="s">
        <v>539</v>
      </c>
      <c r="F38" s="123" t="n">
        <v>2776.05</v>
      </c>
      <c r="G38" s="121" t="s">
        <v>540</v>
      </c>
      <c r="H38" s="124" t="n">
        <v>45778</v>
      </c>
    </row>
    <row r="39" customFormat="false" ht="15" hidden="true" customHeight="true" outlineLevel="0" collapsed="false">
      <c r="B39" s="100" t="n">
        <v>45807</v>
      </c>
      <c r="C39" s="101" t="s">
        <v>506</v>
      </c>
      <c r="D39" s="102" t="s">
        <v>313</v>
      </c>
      <c r="E39" s="102" t="s">
        <v>203</v>
      </c>
      <c r="F39" s="103" t="n">
        <v>2000</v>
      </c>
      <c r="G39" s="101" t="s">
        <v>508</v>
      </c>
      <c r="H39" s="104" t="n">
        <v>45778</v>
      </c>
    </row>
    <row r="40" customFormat="false" ht="15" hidden="true" customHeight="true" outlineLevel="0" collapsed="false">
      <c r="B40" s="89" t="n">
        <v>45807</v>
      </c>
      <c r="C40" s="93" t="s">
        <v>506</v>
      </c>
      <c r="D40" s="91" t="s">
        <v>313</v>
      </c>
      <c r="E40" s="91" t="s">
        <v>541</v>
      </c>
      <c r="F40" s="92" t="n">
        <v>650</v>
      </c>
      <c r="G40" s="93" t="s">
        <v>173</v>
      </c>
      <c r="H40" s="94" t="n">
        <v>45778</v>
      </c>
    </row>
    <row r="41" customFormat="false" ht="15" hidden="true" customHeight="true" outlineLevel="0" collapsed="false">
      <c r="B41" s="100" t="n">
        <v>45807</v>
      </c>
      <c r="C41" s="101" t="s">
        <v>506</v>
      </c>
      <c r="D41" s="102" t="s">
        <v>313</v>
      </c>
      <c r="E41" s="102" t="s">
        <v>205</v>
      </c>
      <c r="F41" s="103" t="n">
        <v>600</v>
      </c>
      <c r="G41" s="101" t="s">
        <v>173</v>
      </c>
      <c r="H41" s="104" t="n">
        <v>45778</v>
      </c>
    </row>
    <row r="42" customFormat="false" ht="15" hidden="true" customHeight="true" outlineLevel="0" collapsed="false">
      <c r="B42" s="89" t="n">
        <v>45807</v>
      </c>
      <c r="C42" s="93" t="s">
        <v>506</v>
      </c>
      <c r="D42" s="327" t="s">
        <v>313</v>
      </c>
      <c r="E42" s="327" t="s">
        <v>542</v>
      </c>
      <c r="F42" s="92" t="n">
        <v>1250</v>
      </c>
      <c r="G42" s="93" t="s">
        <v>508</v>
      </c>
      <c r="H42" s="94" t="n">
        <v>45778</v>
      </c>
    </row>
    <row r="43" customFormat="false" ht="15" hidden="true" customHeight="true" outlineLevel="0" collapsed="false">
      <c r="B43" s="100" t="n">
        <v>45810</v>
      </c>
      <c r="C43" s="101" t="s">
        <v>543</v>
      </c>
      <c r="D43" s="328" t="s">
        <v>313</v>
      </c>
      <c r="E43" s="328" t="s">
        <v>510</v>
      </c>
      <c r="F43" s="103" t="n">
        <v>2007.64</v>
      </c>
      <c r="G43" s="101" t="s">
        <v>190</v>
      </c>
      <c r="H43" s="104" t="n">
        <v>45778</v>
      </c>
      <c r="J43" s="95" t="s">
        <v>269</v>
      </c>
      <c r="K43" s="96"/>
      <c r="L43" s="97" t="n">
        <v>7284</v>
      </c>
      <c r="M43" s="97" t="n">
        <v>16964.99</v>
      </c>
      <c r="N43" s="97" t="n">
        <v>16001.81</v>
      </c>
      <c r="O43" s="98" t="n">
        <f aca="false">M43-N43</f>
        <v>963.180000000002</v>
      </c>
      <c r="P43" s="99" t="n">
        <f aca="false">L43+O43</f>
        <v>8247.18</v>
      </c>
    </row>
    <row r="44" customFormat="false" ht="15" hidden="true" customHeight="true" outlineLevel="0" collapsed="false">
      <c r="B44" s="120" t="n">
        <v>45810</v>
      </c>
      <c r="C44" s="121" t="s">
        <v>543</v>
      </c>
      <c r="D44" s="122" t="s">
        <v>516</v>
      </c>
      <c r="E44" s="122" t="s">
        <v>275</v>
      </c>
      <c r="F44" s="123" t="n">
        <v>2026.18</v>
      </c>
      <c r="G44" s="121" t="s">
        <v>508</v>
      </c>
      <c r="H44" s="124" t="n">
        <v>45778</v>
      </c>
      <c r="J44" s="105" t="s">
        <v>28</v>
      </c>
      <c r="K44" s="106"/>
      <c r="L44" s="107" t="n">
        <v>8247.18</v>
      </c>
      <c r="M44" s="107" t="n">
        <v>22253.63</v>
      </c>
      <c r="N44" s="107" t="n">
        <v>17207.49</v>
      </c>
      <c r="O44" s="108" t="n">
        <f aca="false">M44-N44</f>
        <v>5046.14</v>
      </c>
      <c r="P44" s="109" t="n">
        <f aca="false">L44+O44</f>
        <v>13293.32</v>
      </c>
    </row>
    <row r="45" customFormat="false" ht="15" hidden="true" customHeight="true" outlineLevel="0" collapsed="false">
      <c r="B45" s="114" t="n">
        <v>45810</v>
      </c>
      <c r="C45" s="115" t="s">
        <v>543</v>
      </c>
      <c r="D45" s="116" t="s">
        <v>544</v>
      </c>
      <c r="E45" s="116" t="s">
        <v>545</v>
      </c>
      <c r="F45" s="117" t="n">
        <v>930</v>
      </c>
      <c r="G45" s="115" t="s">
        <v>173</v>
      </c>
      <c r="H45" s="118" t="n">
        <v>45778</v>
      </c>
      <c r="J45" s="95" t="s">
        <v>31</v>
      </c>
      <c r="K45" s="96"/>
      <c r="L45" s="97" t="n">
        <v>13293.32</v>
      </c>
      <c r="M45" s="97" t="n">
        <v>16900</v>
      </c>
      <c r="N45" s="97" t="n">
        <v>20527.31</v>
      </c>
      <c r="O45" s="110" t="n">
        <f aca="false">M45-N45</f>
        <v>-3627.31</v>
      </c>
      <c r="P45" s="99" t="n">
        <f aca="false">L45+O45</f>
        <v>9666.01</v>
      </c>
    </row>
    <row r="46" customFormat="false" ht="15" hidden="true" customHeight="true" outlineLevel="0" collapsed="false">
      <c r="B46" s="89" t="n">
        <v>45811</v>
      </c>
      <c r="C46" s="329" t="s">
        <v>546</v>
      </c>
      <c r="D46" s="91" t="s">
        <v>313</v>
      </c>
      <c r="E46" s="91" t="s">
        <v>547</v>
      </c>
      <c r="F46" s="92" t="n">
        <v>350</v>
      </c>
      <c r="G46" s="93" t="s">
        <v>173</v>
      </c>
      <c r="H46" s="94" t="n">
        <v>45778</v>
      </c>
      <c r="J46" s="105" t="s">
        <v>34</v>
      </c>
      <c r="K46" s="106"/>
      <c r="L46" s="107" t="n">
        <v>9666.01</v>
      </c>
      <c r="M46" s="107" t="n">
        <v>19175.97</v>
      </c>
      <c r="N46" s="107" t="n">
        <v>19900</v>
      </c>
      <c r="O46" s="111" t="n">
        <f aca="false">M46-N46</f>
        <v>-724.029999999999</v>
      </c>
      <c r="P46" s="109" t="n">
        <f aca="false">L46+O46</f>
        <v>8941.98</v>
      </c>
    </row>
    <row r="47" customFormat="false" ht="15" hidden="true" customHeight="true" outlineLevel="0" collapsed="false">
      <c r="B47" s="114" t="n">
        <v>45812</v>
      </c>
      <c r="C47" s="330" t="s">
        <v>543</v>
      </c>
      <c r="D47" s="116" t="s">
        <v>519</v>
      </c>
      <c r="E47" s="116" t="s">
        <v>548</v>
      </c>
      <c r="F47" s="117" t="n">
        <v>500</v>
      </c>
      <c r="G47" s="115" t="s">
        <v>173</v>
      </c>
      <c r="H47" s="118" t="n">
        <v>45809</v>
      </c>
      <c r="J47" s="95" t="s">
        <v>38</v>
      </c>
      <c r="K47" s="96"/>
      <c r="L47" s="97" t="n">
        <v>8941.98</v>
      </c>
      <c r="M47" s="97" t="n">
        <f aca="false">M20</f>
        <v>21491.14</v>
      </c>
      <c r="N47" s="97" t="n">
        <f aca="false">M23</f>
        <v>17732.12</v>
      </c>
      <c r="O47" s="112" t="n">
        <f aca="false">M47-N47</f>
        <v>3759.02</v>
      </c>
      <c r="P47" s="113" t="n">
        <f aca="false">L47+O47</f>
        <v>12701</v>
      </c>
    </row>
    <row r="48" customFormat="false" ht="15" hidden="true" customHeight="true" outlineLevel="0" collapsed="false">
      <c r="B48" s="89" t="n">
        <v>45813</v>
      </c>
      <c r="C48" s="329" t="s">
        <v>546</v>
      </c>
      <c r="D48" s="91" t="s">
        <v>313</v>
      </c>
      <c r="E48" s="91" t="s">
        <v>549</v>
      </c>
      <c r="F48" s="92" t="n">
        <v>600</v>
      </c>
      <c r="G48" s="93" t="s">
        <v>508</v>
      </c>
      <c r="H48" s="94" t="n">
        <v>45778</v>
      </c>
      <c r="J48" s="105" t="s">
        <v>41</v>
      </c>
      <c r="K48" s="106"/>
      <c r="L48" s="107" t="n">
        <f aca="false">P47</f>
        <v>12701</v>
      </c>
      <c r="M48" s="107" t="n">
        <f aca="false">M57</f>
        <v>16824.3</v>
      </c>
      <c r="N48" s="107" t="n">
        <f aca="false">M60</f>
        <v>22872.97</v>
      </c>
      <c r="O48" s="331" t="n">
        <f aca="false">M48-N48</f>
        <v>-6048.67</v>
      </c>
      <c r="P48" s="107" t="n">
        <f aca="false">L48+O48</f>
        <v>6652.33</v>
      </c>
    </row>
    <row r="49" customFormat="false" ht="15" hidden="true" customHeight="true" outlineLevel="0" collapsed="false">
      <c r="B49" s="114" t="n">
        <v>45813</v>
      </c>
      <c r="C49" s="330" t="s">
        <v>543</v>
      </c>
      <c r="D49" s="116" t="s">
        <v>511</v>
      </c>
      <c r="E49" s="116" t="s">
        <v>512</v>
      </c>
      <c r="F49" s="117" t="n">
        <v>1869.2</v>
      </c>
      <c r="G49" s="115" t="s">
        <v>173</v>
      </c>
      <c r="H49" s="118" t="n">
        <v>45778</v>
      </c>
      <c r="J49" s="95" t="s">
        <v>43</v>
      </c>
      <c r="K49" s="96"/>
      <c r="L49" s="97"/>
      <c r="M49" s="97"/>
      <c r="N49" s="97"/>
      <c r="O49" s="112"/>
      <c r="P49" s="113"/>
    </row>
    <row r="50" customFormat="false" ht="15" hidden="true" customHeight="true" outlineLevel="0" collapsed="false">
      <c r="B50" s="89" t="n">
        <v>45813</v>
      </c>
      <c r="C50" s="329" t="s">
        <v>543</v>
      </c>
      <c r="D50" s="91" t="s">
        <v>313</v>
      </c>
      <c r="E50" s="91" t="s">
        <v>550</v>
      </c>
      <c r="F50" s="92" t="n">
        <v>900</v>
      </c>
      <c r="G50" s="93" t="s">
        <v>508</v>
      </c>
      <c r="H50" s="94" t="n">
        <v>45809</v>
      </c>
      <c r="J50" s="105" t="s">
        <v>44</v>
      </c>
      <c r="K50" s="106"/>
      <c r="L50" s="107"/>
      <c r="M50" s="107"/>
      <c r="N50" s="107"/>
      <c r="O50" s="119"/>
      <c r="P50" s="107"/>
    </row>
    <row r="51" customFormat="false" ht="15" hidden="true" customHeight="true" outlineLevel="0" collapsed="false">
      <c r="B51" s="114" t="n">
        <v>45813</v>
      </c>
      <c r="C51" s="330" t="s">
        <v>546</v>
      </c>
      <c r="D51" s="116" t="s">
        <v>516</v>
      </c>
      <c r="E51" s="116" t="s">
        <v>276</v>
      </c>
      <c r="F51" s="117" t="n">
        <v>30</v>
      </c>
      <c r="G51" s="115" t="s">
        <v>173</v>
      </c>
      <c r="H51" s="118" t="n">
        <v>45809</v>
      </c>
      <c r="J51" s="95" t="s">
        <v>45</v>
      </c>
      <c r="K51" s="96"/>
      <c r="L51" s="97"/>
      <c r="M51" s="97"/>
      <c r="N51" s="97"/>
      <c r="O51" s="112"/>
      <c r="P51" s="113"/>
    </row>
    <row r="52" customFormat="false" ht="15" hidden="true" customHeight="true" outlineLevel="0" collapsed="false">
      <c r="B52" s="120" t="n">
        <v>45817</v>
      </c>
      <c r="C52" s="332" t="s">
        <v>543</v>
      </c>
      <c r="D52" s="122" t="s">
        <v>304</v>
      </c>
      <c r="E52" s="122" t="s">
        <v>515</v>
      </c>
      <c r="F52" s="123" t="n">
        <v>852.99</v>
      </c>
      <c r="G52" s="121" t="s">
        <v>508</v>
      </c>
      <c r="H52" s="124" t="n">
        <v>45658</v>
      </c>
      <c r="J52" s="105" t="s">
        <v>46</v>
      </c>
      <c r="K52" s="106"/>
      <c r="L52" s="107"/>
      <c r="M52" s="107"/>
      <c r="N52" s="107"/>
      <c r="O52" s="119"/>
      <c r="P52" s="107"/>
    </row>
    <row r="53" customFormat="false" ht="15" hidden="true" customHeight="true" outlineLevel="0" collapsed="false">
      <c r="B53" s="100" t="n">
        <v>45818</v>
      </c>
      <c r="C53" s="333" t="s">
        <v>546</v>
      </c>
      <c r="D53" s="102" t="s">
        <v>313</v>
      </c>
      <c r="E53" s="102" t="s">
        <v>509</v>
      </c>
      <c r="F53" s="103" t="n">
        <v>1250</v>
      </c>
      <c r="G53" s="101" t="s">
        <v>508</v>
      </c>
      <c r="H53" s="104" t="n">
        <v>45778</v>
      </c>
      <c r="J53" s="95" t="s">
        <v>47</v>
      </c>
      <c r="K53" s="96"/>
      <c r="L53" s="99"/>
      <c r="M53" s="99"/>
      <c r="N53" s="99"/>
      <c r="O53" s="125"/>
      <c r="P53" s="83"/>
    </row>
    <row r="54" customFormat="false" ht="15" hidden="true" customHeight="true" outlineLevel="0" collapsed="false">
      <c r="B54" s="89" t="n">
        <v>45820</v>
      </c>
      <c r="C54" s="329" t="s">
        <v>546</v>
      </c>
      <c r="D54" s="91" t="s">
        <v>313</v>
      </c>
      <c r="E54" s="91" t="s">
        <v>182</v>
      </c>
      <c r="F54" s="92" t="n">
        <v>900</v>
      </c>
      <c r="G54" s="93" t="s">
        <v>508</v>
      </c>
      <c r="H54" s="94" t="n">
        <v>45809</v>
      </c>
      <c r="J54" s="105" t="s">
        <v>48</v>
      </c>
      <c r="K54" s="106"/>
      <c r="L54" s="109"/>
      <c r="M54" s="109"/>
      <c r="N54" s="109"/>
      <c r="O54" s="108"/>
      <c r="P54" s="109"/>
    </row>
    <row r="55" customFormat="false" ht="15" hidden="true" customHeight="true" outlineLevel="0" collapsed="false">
      <c r="B55" s="114" t="n">
        <v>45821</v>
      </c>
      <c r="C55" s="330" t="s">
        <v>546</v>
      </c>
      <c r="D55" s="116" t="s">
        <v>516</v>
      </c>
      <c r="E55" s="116" t="s">
        <v>278</v>
      </c>
      <c r="F55" s="117" t="n">
        <v>209.13</v>
      </c>
      <c r="G55" s="115" t="s">
        <v>508</v>
      </c>
      <c r="H55" s="118" t="n">
        <v>45809</v>
      </c>
    </row>
    <row r="56" customFormat="false" ht="15" hidden="true" customHeight="true" outlineLevel="0" collapsed="false">
      <c r="B56" s="120" t="n">
        <v>45821</v>
      </c>
      <c r="C56" s="332" t="s">
        <v>546</v>
      </c>
      <c r="D56" s="122" t="s">
        <v>511</v>
      </c>
      <c r="E56" s="122" t="s">
        <v>551</v>
      </c>
      <c r="F56" s="123" t="n">
        <v>2500</v>
      </c>
      <c r="G56" s="121" t="s">
        <v>173</v>
      </c>
      <c r="H56" s="124" t="n">
        <v>45809</v>
      </c>
      <c r="J56" s="128" t="s">
        <v>270</v>
      </c>
      <c r="K56" s="128"/>
      <c r="L56" s="128"/>
      <c r="M56" s="128"/>
    </row>
    <row r="57" customFormat="false" ht="15" hidden="true" customHeight="true" outlineLevel="0" collapsed="false">
      <c r="B57" s="114" t="n">
        <v>45821</v>
      </c>
      <c r="C57" s="330" t="s">
        <v>546</v>
      </c>
      <c r="D57" s="116" t="s">
        <v>552</v>
      </c>
      <c r="E57" s="116" t="s">
        <v>553</v>
      </c>
      <c r="F57" s="117" t="n">
        <v>38</v>
      </c>
      <c r="G57" s="115" t="s">
        <v>173</v>
      </c>
      <c r="H57" s="118" t="n">
        <v>45809</v>
      </c>
      <c r="J57" s="87" t="s">
        <v>271</v>
      </c>
      <c r="K57" s="126"/>
      <c r="L57" s="126"/>
      <c r="M57" s="127" t="n">
        <f aca="false">SUM(M58:M59)</f>
        <v>16824.3</v>
      </c>
    </row>
    <row r="58" customFormat="false" ht="15" hidden="true" customHeight="true" outlineLevel="0" collapsed="false">
      <c r="B58" s="334" t="n">
        <v>45821</v>
      </c>
      <c r="C58" s="335" t="s">
        <v>546</v>
      </c>
      <c r="D58" s="336" t="s">
        <v>519</v>
      </c>
      <c r="E58" s="336" t="s">
        <v>554</v>
      </c>
      <c r="F58" s="337" t="n">
        <v>125</v>
      </c>
      <c r="G58" s="338" t="s">
        <v>173</v>
      </c>
      <c r="H58" s="339" t="n">
        <v>45809</v>
      </c>
      <c r="J58" s="96" t="s">
        <v>272</v>
      </c>
      <c r="K58" s="96"/>
      <c r="L58" s="96"/>
      <c r="M58" s="99" t="n">
        <f aca="false">SUM(F43,F46,F48,F50,F53,F54,F62,F64,F71,F74,F75,F78,F80,F84,F85)</f>
        <v>15557.64</v>
      </c>
    </row>
    <row r="59" customFormat="false" ht="15" hidden="true" customHeight="true" outlineLevel="0" collapsed="false">
      <c r="B59" s="114" t="n">
        <v>45824</v>
      </c>
      <c r="C59" s="330" t="s">
        <v>546</v>
      </c>
      <c r="D59" s="116" t="s">
        <v>516</v>
      </c>
      <c r="E59" s="116" t="s">
        <v>553</v>
      </c>
      <c r="F59" s="117" t="n">
        <v>42</v>
      </c>
      <c r="G59" s="115" t="s">
        <v>173</v>
      </c>
      <c r="H59" s="118" t="n">
        <v>45809</v>
      </c>
      <c r="J59" s="96" t="s">
        <v>273</v>
      </c>
      <c r="K59" s="96"/>
      <c r="L59" s="96"/>
      <c r="M59" s="83" t="n">
        <f aca="false">SUM(F61,F86)</f>
        <v>1266.66</v>
      </c>
    </row>
    <row r="60" customFormat="false" ht="15" hidden="true" customHeight="true" outlineLevel="0" collapsed="false">
      <c r="B60" s="120" t="n">
        <v>45824</v>
      </c>
      <c r="C60" s="332" t="s">
        <v>546</v>
      </c>
      <c r="D60" s="122" t="s">
        <v>519</v>
      </c>
      <c r="E60" s="122" t="s">
        <v>554</v>
      </c>
      <c r="F60" s="123" t="n">
        <v>80</v>
      </c>
      <c r="G60" s="121" t="s">
        <v>173</v>
      </c>
      <c r="H60" s="124" t="n">
        <v>45809</v>
      </c>
      <c r="J60" s="87" t="s">
        <v>274</v>
      </c>
      <c r="K60" s="126"/>
      <c r="L60" s="126"/>
      <c r="M60" s="127" t="n">
        <f aca="false">SUM(M61:M65)</f>
        <v>22872.97</v>
      </c>
    </row>
    <row r="61" customFormat="false" ht="15" hidden="true" customHeight="true" outlineLevel="0" collapsed="false">
      <c r="B61" s="100" t="n">
        <v>45824</v>
      </c>
      <c r="C61" s="333" t="s">
        <v>546</v>
      </c>
      <c r="D61" s="102" t="s">
        <v>534</v>
      </c>
      <c r="E61" s="102" t="s">
        <v>555</v>
      </c>
      <c r="F61" s="103" t="n">
        <v>633.33</v>
      </c>
      <c r="G61" s="101" t="s">
        <v>508</v>
      </c>
      <c r="H61" s="104" t="n">
        <v>45748</v>
      </c>
      <c r="J61" s="96" t="s">
        <v>523</v>
      </c>
      <c r="K61" s="96"/>
      <c r="L61" s="96"/>
      <c r="M61" s="99" t="n">
        <f aca="false">SUM(F45,F49,F56,F63,F67,F68,F69,F72,F81,F82,F83)</f>
        <v>15531.85</v>
      </c>
    </row>
    <row r="62" customFormat="false" ht="15" hidden="true" customHeight="true" outlineLevel="0" collapsed="false">
      <c r="B62" s="89" t="n">
        <v>45824</v>
      </c>
      <c r="C62" s="329" t="s">
        <v>543</v>
      </c>
      <c r="D62" s="91" t="s">
        <v>313</v>
      </c>
      <c r="E62" s="91" t="s">
        <v>183</v>
      </c>
      <c r="F62" s="92" t="n">
        <v>600</v>
      </c>
      <c r="G62" s="93" t="s">
        <v>173</v>
      </c>
      <c r="H62" s="94" t="n">
        <v>45809</v>
      </c>
      <c r="J62" s="96" t="s">
        <v>388</v>
      </c>
      <c r="K62" s="96"/>
      <c r="L62" s="96"/>
      <c r="M62" s="99" t="n">
        <f aca="false">SUM(F66,F79)</f>
        <v>2365.56</v>
      </c>
    </row>
    <row r="63" customFormat="false" ht="15" hidden="true" customHeight="true" outlineLevel="0" collapsed="false">
      <c r="B63" s="114" t="n">
        <v>45825</v>
      </c>
      <c r="C63" s="330" t="s">
        <v>546</v>
      </c>
      <c r="D63" s="116" t="s">
        <v>544</v>
      </c>
      <c r="E63" s="116" t="s">
        <v>556</v>
      </c>
      <c r="F63" s="117" t="n">
        <v>500</v>
      </c>
      <c r="G63" s="115" t="s">
        <v>173</v>
      </c>
      <c r="H63" s="118" t="n">
        <v>45809</v>
      </c>
      <c r="J63" s="96" t="s">
        <v>526</v>
      </c>
      <c r="K63" s="96"/>
      <c r="L63" s="96"/>
      <c r="M63" s="99" t="n">
        <f aca="false">SUM(F44,F51,F55,F57,F59,F70,F73,F76,F77)</f>
        <v>2580.56</v>
      </c>
    </row>
    <row r="64" customFormat="false" ht="15" hidden="true" customHeight="true" outlineLevel="0" collapsed="false">
      <c r="B64" s="89" t="n">
        <v>45826</v>
      </c>
      <c r="C64" s="329" t="s">
        <v>546</v>
      </c>
      <c r="D64" s="91" t="s">
        <v>313</v>
      </c>
      <c r="E64" s="91" t="s">
        <v>201</v>
      </c>
      <c r="F64" s="92" t="n">
        <v>750</v>
      </c>
      <c r="G64" s="93" t="s">
        <v>508</v>
      </c>
      <c r="H64" s="94" t="n">
        <v>45809</v>
      </c>
      <c r="J64" s="96" t="s">
        <v>304</v>
      </c>
      <c r="K64" s="96"/>
      <c r="L64" s="96"/>
      <c r="M64" s="99" t="n">
        <f aca="false">SUM(F52,F65)</f>
        <v>1690</v>
      </c>
    </row>
    <row r="65" customFormat="false" ht="15" hidden="true" customHeight="true" outlineLevel="0" collapsed="false">
      <c r="B65" s="114" t="n">
        <v>45826</v>
      </c>
      <c r="C65" s="330" t="s">
        <v>546</v>
      </c>
      <c r="D65" s="116" t="s">
        <v>304</v>
      </c>
      <c r="E65" s="116" t="s">
        <v>515</v>
      </c>
      <c r="F65" s="117" t="n">
        <v>837.01</v>
      </c>
      <c r="G65" s="115" t="s">
        <v>508</v>
      </c>
      <c r="H65" s="118" t="n">
        <v>45778</v>
      </c>
      <c r="J65" s="96" t="s">
        <v>529</v>
      </c>
      <c r="K65" s="96"/>
      <c r="L65" s="96"/>
      <c r="M65" s="99" t="n">
        <f aca="false">SUM(F47,F58,F60)</f>
        <v>705</v>
      </c>
    </row>
    <row r="66" customFormat="false" ht="15" hidden="true" customHeight="true" outlineLevel="0" collapsed="false">
      <c r="B66" s="120" t="n">
        <v>45826</v>
      </c>
      <c r="C66" s="332" t="s">
        <v>546</v>
      </c>
      <c r="D66" s="340" t="s">
        <v>513</v>
      </c>
      <c r="E66" s="340" t="s">
        <v>514</v>
      </c>
      <c r="F66" s="123" t="n">
        <v>273.69</v>
      </c>
      <c r="G66" s="121" t="s">
        <v>508</v>
      </c>
      <c r="H66" s="341" t="n">
        <v>45809</v>
      </c>
      <c r="M66" s="83"/>
    </row>
    <row r="67" customFormat="false" ht="15" hidden="true" customHeight="true" outlineLevel="0" collapsed="false">
      <c r="B67" s="114" t="n">
        <v>45826</v>
      </c>
      <c r="C67" s="330" t="s">
        <v>543</v>
      </c>
      <c r="D67" s="342" t="s">
        <v>544</v>
      </c>
      <c r="E67" s="342" t="s">
        <v>557</v>
      </c>
      <c r="F67" s="117" t="n">
        <v>124.8</v>
      </c>
      <c r="G67" s="115" t="s">
        <v>173</v>
      </c>
      <c r="H67" s="343" t="n">
        <v>45809</v>
      </c>
      <c r="M67" s="83"/>
    </row>
    <row r="68" customFormat="false" ht="15" hidden="true" customHeight="true" outlineLevel="0" collapsed="false">
      <c r="B68" s="120" t="n">
        <v>45828</v>
      </c>
      <c r="C68" s="332" t="s">
        <v>543</v>
      </c>
      <c r="D68" s="340" t="s">
        <v>511</v>
      </c>
      <c r="E68" s="340" t="s">
        <v>522</v>
      </c>
      <c r="F68" s="123" t="n">
        <v>1696</v>
      </c>
      <c r="G68" s="121" t="s">
        <v>173</v>
      </c>
      <c r="H68" s="341" t="n">
        <v>45809</v>
      </c>
      <c r="M68" s="83"/>
    </row>
    <row r="69" customFormat="false" ht="15" hidden="true" customHeight="true" outlineLevel="0" collapsed="false">
      <c r="B69" s="114" t="n">
        <v>45828</v>
      </c>
      <c r="C69" s="330" t="s">
        <v>546</v>
      </c>
      <c r="D69" s="342" t="s">
        <v>544</v>
      </c>
      <c r="E69" s="342" t="s">
        <v>521</v>
      </c>
      <c r="F69" s="117" t="n">
        <v>2696</v>
      </c>
      <c r="G69" s="115" t="s">
        <v>173</v>
      </c>
      <c r="H69" s="343" t="n">
        <v>45809</v>
      </c>
    </row>
    <row r="70" customFormat="false" ht="15" hidden="true" customHeight="true" outlineLevel="0" collapsed="false">
      <c r="B70" s="120" t="n">
        <v>45831</v>
      </c>
      <c r="C70" s="332" t="s">
        <v>543</v>
      </c>
      <c r="D70" s="340" t="s">
        <v>516</v>
      </c>
      <c r="E70" s="340" t="s">
        <v>530</v>
      </c>
      <c r="F70" s="123" t="n">
        <v>75</v>
      </c>
      <c r="G70" s="121" t="s">
        <v>173</v>
      </c>
      <c r="H70" s="341" t="n">
        <v>45809</v>
      </c>
    </row>
    <row r="71" customFormat="false" ht="15" hidden="true" customHeight="true" outlineLevel="0" collapsed="false">
      <c r="B71" s="100" t="n">
        <v>45833</v>
      </c>
      <c r="C71" s="333" t="s">
        <v>546</v>
      </c>
      <c r="D71" s="344" t="s">
        <v>313</v>
      </c>
      <c r="E71" s="344" t="s">
        <v>533</v>
      </c>
      <c r="F71" s="103" t="n">
        <v>1500</v>
      </c>
      <c r="G71" s="101" t="s">
        <v>508</v>
      </c>
      <c r="H71" s="345" t="n">
        <v>45809</v>
      </c>
    </row>
    <row r="72" customFormat="false" ht="15" hidden="true" customHeight="true" outlineLevel="0" collapsed="false">
      <c r="B72" s="120" t="n">
        <v>45833</v>
      </c>
      <c r="C72" s="332" t="s">
        <v>546</v>
      </c>
      <c r="D72" s="340" t="s">
        <v>544</v>
      </c>
      <c r="E72" s="340" t="s">
        <v>532</v>
      </c>
      <c r="F72" s="123" t="n">
        <v>1500</v>
      </c>
      <c r="G72" s="121" t="s">
        <v>173</v>
      </c>
      <c r="H72" s="341" t="n">
        <v>45809</v>
      </c>
    </row>
    <row r="73" customFormat="false" ht="15" hidden="true" customHeight="true" outlineLevel="0" collapsed="false">
      <c r="B73" s="114" t="n">
        <v>45833</v>
      </c>
      <c r="C73" s="330" t="s">
        <v>546</v>
      </c>
      <c r="D73" s="342" t="s">
        <v>516</v>
      </c>
      <c r="E73" s="342" t="s">
        <v>536</v>
      </c>
      <c r="F73" s="117" t="n">
        <v>85.25</v>
      </c>
      <c r="G73" s="115" t="s">
        <v>173</v>
      </c>
      <c r="H73" s="343" t="n">
        <v>45809</v>
      </c>
    </row>
    <row r="74" customFormat="false" ht="15" hidden="true" customHeight="true" outlineLevel="0" collapsed="false">
      <c r="B74" s="346" t="n">
        <v>45833</v>
      </c>
      <c r="C74" s="329" t="s">
        <v>543</v>
      </c>
      <c r="D74" s="347" t="s">
        <v>313</v>
      </c>
      <c r="E74" s="347" t="s">
        <v>528</v>
      </c>
      <c r="F74" s="348" t="n">
        <v>1000</v>
      </c>
      <c r="G74" s="349" t="s">
        <v>173</v>
      </c>
      <c r="H74" s="350" t="n">
        <v>45778</v>
      </c>
    </row>
    <row r="75" customFormat="false" ht="15" hidden="true" customHeight="true" outlineLevel="0" collapsed="false">
      <c r="B75" s="351" t="n">
        <v>45833</v>
      </c>
      <c r="C75" s="333" t="s">
        <v>546</v>
      </c>
      <c r="D75" s="352" t="s">
        <v>313</v>
      </c>
      <c r="E75" s="352" t="s">
        <v>191</v>
      </c>
      <c r="F75" s="353" t="n">
        <v>1350</v>
      </c>
      <c r="G75" s="354" t="s">
        <v>508</v>
      </c>
      <c r="H75" s="355" t="n">
        <v>45778</v>
      </c>
    </row>
    <row r="76" customFormat="false" ht="15" hidden="true" customHeight="true" outlineLevel="0" collapsed="false">
      <c r="B76" s="356" t="n">
        <v>45834</v>
      </c>
      <c r="C76" s="332" t="s">
        <v>543</v>
      </c>
      <c r="D76" s="357" t="s">
        <v>516</v>
      </c>
      <c r="E76" s="357" t="s">
        <v>276</v>
      </c>
      <c r="F76" s="358" t="n">
        <v>15</v>
      </c>
      <c r="G76" s="359" t="s">
        <v>173</v>
      </c>
      <c r="H76" s="360" t="n">
        <v>45809</v>
      </c>
    </row>
    <row r="77" customFormat="false" ht="15" hidden="true" customHeight="true" outlineLevel="0" collapsed="false">
      <c r="B77" s="361" t="n">
        <v>45834</v>
      </c>
      <c r="C77" s="330" t="s">
        <v>546</v>
      </c>
      <c r="D77" s="362" t="s">
        <v>516</v>
      </c>
      <c r="E77" s="362" t="s">
        <v>558</v>
      </c>
      <c r="F77" s="363" t="n">
        <v>60</v>
      </c>
      <c r="G77" s="364" t="s">
        <v>173</v>
      </c>
      <c r="H77" s="365" t="n">
        <v>45809</v>
      </c>
    </row>
    <row r="78" customFormat="false" ht="15" hidden="true" customHeight="true" outlineLevel="0" collapsed="false">
      <c r="B78" s="346" t="n">
        <v>45835</v>
      </c>
      <c r="C78" s="329" t="s">
        <v>543</v>
      </c>
      <c r="D78" s="347" t="s">
        <v>313</v>
      </c>
      <c r="E78" s="347" t="s">
        <v>538</v>
      </c>
      <c r="F78" s="348" t="n">
        <v>500</v>
      </c>
      <c r="G78" s="349" t="s">
        <v>173</v>
      </c>
      <c r="H78" s="350" t="n">
        <v>45809</v>
      </c>
    </row>
    <row r="79" customFormat="false" ht="15" hidden="true" customHeight="true" outlineLevel="0" collapsed="false">
      <c r="B79" s="361" t="n">
        <v>45838</v>
      </c>
      <c r="C79" s="330" t="s">
        <v>546</v>
      </c>
      <c r="D79" s="362" t="s">
        <v>513</v>
      </c>
      <c r="E79" s="362" t="s">
        <v>539</v>
      </c>
      <c r="F79" s="363" t="n">
        <v>2091.87</v>
      </c>
      <c r="G79" s="364" t="s">
        <v>508</v>
      </c>
      <c r="H79" s="365" t="n">
        <v>45809</v>
      </c>
    </row>
    <row r="80" customFormat="false" ht="15" hidden="true" customHeight="true" outlineLevel="0" collapsed="false">
      <c r="B80" s="346" t="n">
        <v>45838</v>
      </c>
      <c r="C80" s="329" t="s">
        <v>543</v>
      </c>
      <c r="D80" s="347" t="s">
        <v>313</v>
      </c>
      <c r="E80" s="347" t="s">
        <v>205</v>
      </c>
      <c r="F80" s="348" t="n">
        <v>600</v>
      </c>
      <c r="G80" s="349" t="s">
        <v>173</v>
      </c>
      <c r="H80" s="350" t="n">
        <v>45809</v>
      </c>
    </row>
    <row r="81" customFormat="false" ht="15" hidden="true" customHeight="true" outlineLevel="0" collapsed="false">
      <c r="B81" s="361" t="n">
        <v>45838</v>
      </c>
      <c r="C81" s="330" t="s">
        <v>543</v>
      </c>
      <c r="D81" s="362" t="s">
        <v>544</v>
      </c>
      <c r="E81" s="362" t="s">
        <v>537</v>
      </c>
      <c r="F81" s="363" t="n">
        <v>516.25</v>
      </c>
      <c r="G81" s="364" t="s">
        <v>173</v>
      </c>
      <c r="H81" s="365" t="n">
        <v>45809</v>
      </c>
    </row>
    <row r="82" customFormat="false" ht="15" hidden="true" customHeight="true" outlineLevel="0" collapsed="false">
      <c r="B82" s="356" t="n">
        <v>45838</v>
      </c>
      <c r="C82" s="332" t="s">
        <v>543</v>
      </c>
      <c r="D82" s="357" t="s">
        <v>544</v>
      </c>
      <c r="E82" s="357" t="s">
        <v>559</v>
      </c>
      <c r="F82" s="358" t="n">
        <v>1580</v>
      </c>
      <c r="G82" s="359" t="s">
        <v>173</v>
      </c>
      <c r="H82" s="360" t="n">
        <v>45809</v>
      </c>
    </row>
    <row r="83" customFormat="false" ht="15" hidden="true" customHeight="true" outlineLevel="0" collapsed="false">
      <c r="B83" s="361" t="n">
        <v>45838</v>
      </c>
      <c r="C83" s="330" t="s">
        <v>546</v>
      </c>
      <c r="D83" s="362" t="s">
        <v>544</v>
      </c>
      <c r="E83" s="362" t="s">
        <v>557</v>
      </c>
      <c r="F83" s="363" t="n">
        <v>1619.6</v>
      </c>
      <c r="G83" s="364" t="s">
        <v>173</v>
      </c>
      <c r="H83" s="365" t="n">
        <v>45809</v>
      </c>
    </row>
    <row r="84" customFormat="false" ht="15" hidden="true" customHeight="true" outlineLevel="0" collapsed="false">
      <c r="B84" s="346" t="n">
        <v>45838</v>
      </c>
      <c r="C84" s="329" t="s">
        <v>543</v>
      </c>
      <c r="D84" s="347" t="s">
        <v>313</v>
      </c>
      <c r="E84" s="347" t="s">
        <v>542</v>
      </c>
      <c r="F84" s="348" t="n">
        <v>1250</v>
      </c>
      <c r="G84" s="349" t="s">
        <v>508</v>
      </c>
      <c r="H84" s="350" t="n">
        <v>45809</v>
      </c>
    </row>
    <row r="85" customFormat="false" ht="15" hidden="true" customHeight="true" outlineLevel="0" collapsed="false">
      <c r="B85" s="351" t="n">
        <v>45838</v>
      </c>
      <c r="C85" s="333" t="s">
        <v>546</v>
      </c>
      <c r="D85" s="352" t="s">
        <v>313</v>
      </c>
      <c r="E85" s="352" t="s">
        <v>560</v>
      </c>
      <c r="F85" s="353" t="n">
        <v>2000</v>
      </c>
      <c r="G85" s="354" t="s">
        <v>508</v>
      </c>
      <c r="H85" s="355" t="n">
        <v>45809</v>
      </c>
    </row>
    <row r="86" customFormat="false" ht="15" hidden="true" customHeight="true" outlineLevel="0" collapsed="false">
      <c r="B86" s="346" t="n">
        <v>45838</v>
      </c>
      <c r="C86" s="329" t="s">
        <v>546</v>
      </c>
      <c r="D86" s="347" t="s">
        <v>534</v>
      </c>
      <c r="E86" s="347" t="s">
        <v>555</v>
      </c>
      <c r="F86" s="348" t="n">
        <v>633.33</v>
      </c>
      <c r="G86" s="349" t="s">
        <v>508</v>
      </c>
      <c r="H86" s="350" t="n">
        <v>45778</v>
      </c>
    </row>
    <row r="87" customFormat="false" ht="15" hidden="true" customHeight="true" outlineLevel="0" collapsed="false">
      <c r="B87" s="351" t="n">
        <v>45839</v>
      </c>
      <c r="C87" s="333" t="s">
        <v>561</v>
      </c>
      <c r="D87" s="352" t="s">
        <v>313</v>
      </c>
      <c r="E87" s="352" t="s">
        <v>541</v>
      </c>
      <c r="F87" s="353" t="n">
        <v>650</v>
      </c>
      <c r="G87" s="354" t="s">
        <v>173</v>
      </c>
      <c r="H87" s="355" t="n">
        <v>45809</v>
      </c>
      <c r="J87" s="95" t="s">
        <v>269</v>
      </c>
      <c r="K87" s="96"/>
      <c r="L87" s="97" t="n">
        <v>7284</v>
      </c>
      <c r="M87" s="97" t="n">
        <v>16964.99</v>
      </c>
      <c r="N87" s="97" t="n">
        <v>16001.81</v>
      </c>
      <c r="O87" s="98" t="n">
        <f aca="false">M87-N87</f>
        <v>963.180000000002</v>
      </c>
      <c r="P87" s="99" t="n">
        <f aca="false">L87+O87</f>
        <v>8247.18</v>
      </c>
    </row>
    <row r="88" customFormat="false" ht="15" hidden="true" customHeight="true" outlineLevel="0" collapsed="false">
      <c r="B88" s="346"/>
      <c r="C88" s="366"/>
      <c r="D88" s="347"/>
      <c r="E88" s="347"/>
      <c r="F88" s="348"/>
      <c r="G88" s="349"/>
      <c r="H88" s="350"/>
      <c r="J88" s="105" t="s">
        <v>28</v>
      </c>
      <c r="K88" s="106"/>
      <c r="L88" s="107" t="n">
        <v>8247.18</v>
      </c>
      <c r="M88" s="107" t="n">
        <v>22253.63</v>
      </c>
      <c r="N88" s="107" t="n">
        <v>17207.49</v>
      </c>
      <c r="O88" s="108" t="n">
        <f aca="false">M88-N88</f>
        <v>5046.14</v>
      </c>
      <c r="P88" s="109" t="n">
        <f aca="false">L88+O88</f>
        <v>13293.32</v>
      </c>
    </row>
    <row r="89" customFormat="false" ht="15" hidden="true" customHeight="true" outlineLevel="0" collapsed="false">
      <c r="B89" s="356" t="n">
        <v>45839</v>
      </c>
      <c r="C89" s="332" t="s">
        <v>561</v>
      </c>
      <c r="D89" s="357" t="s">
        <v>519</v>
      </c>
      <c r="E89" s="357" t="s">
        <v>562</v>
      </c>
      <c r="F89" s="358" t="n">
        <v>380</v>
      </c>
      <c r="G89" s="359" t="s">
        <v>196</v>
      </c>
      <c r="H89" s="360" t="n">
        <v>45839</v>
      </c>
      <c r="J89" s="95" t="s">
        <v>31</v>
      </c>
      <c r="K89" s="96"/>
      <c r="L89" s="97" t="n">
        <v>13293.32</v>
      </c>
      <c r="M89" s="97" t="n">
        <v>16900</v>
      </c>
      <c r="N89" s="97" t="n">
        <v>20527.31</v>
      </c>
      <c r="O89" s="110" t="n">
        <f aca="false">M89-N89</f>
        <v>-3627.31</v>
      </c>
      <c r="P89" s="99" t="n">
        <f aca="false">L89+O89</f>
        <v>9666.01</v>
      </c>
    </row>
    <row r="90" customFormat="false" ht="15" hidden="true" customHeight="true" outlineLevel="0" collapsed="false">
      <c r="B90" s="351" t="n">
        <v>45842</v>
      </c>
      <c r="C90" s="333" t="s">
        <v>563</v>
      </c>
      <c r="D90" s="352" t="s">
        <v>313</v>
      </c>
      <c r="E90" s="352" t="s">
        <v>509</v>
      </c>
      <c r="F90" s="353" t="n">
        <v>1250</v>
      </c>
      <c r="G90" s="354" t="s">
        <v>204</v>
      </c>
      <c r="H90" s="355" t="n">
        <v>45809</v>
      </c>
      <c r="J90" s="105" t="s">
        <v>34</v>
      </c>
      <c r="K90" s="106"/>
      <c r="L90" s="107" t="n">
        <v>9666.01</v>
      </c>
      <c r="M90" s="107" t="n">
        <v>19175.97</v>
      </c>
      <c r="N90" s="107" t="n">
        <v>19900</v>
      </c>
      <c r="O90" s="111" t="n">
        <f aca="false">M90-N90</f>
        <v>-724.029999999999</v>
      </c>
      <c r="P90" s="109" t="n">
        <f aca="false">L90+O90</f>
        <v>8941.98</v>
      </c>
    </row>
    <row r="91" customFormat="false" ht="15" hidden="true" customHeight="true" outlineLevel="0" collapsed="false">
      <c r="B91" s="356" t="n">
        <v>45842</v>
      </c>
      <c r="C91" s="332" t="s">
        <v>561</v>
      </c>
      <c r="D91" s="357" t="s">
        <v>544</v>
      </c>
      <c r="E91" s="357" t="s">
        <v>512</v>
      </c>
      <c r="F91" s="358" t="n">
        <v>448.13</v>
      </c>
      <c r="G91" s="359" t="s">
        <v>196</v>
      </c>
      <c r="H91" s="360" t="n">
        <v>45809</v>
      </c>
      <c r="J91" s="95" t="s">
        <v>38</v>
      </c>
      <c r="K91" s="96"/>
      <c r="L91" s="97" t="n">
        <v>8941.98</v>
      </c>
      <c r="M91" s="97" t="n">
        <f aca="false">M20</f>
        <v>21491.14</v>
      </c>
      <c r="N91" s="97" t="n">
        <f aca="false">M23</f>
        <v>17732.12</v>
      </c>
      <c r="O91" s="112" t="n">
        <f aca="false">M91-N91</f>
        <v>3759.02</v>
      </c>
      <c r="P91" s="113" t="n">
        <f aca="false">L91+O91</f>
        <v>12701</v>
      </c>
    </row>
    <row r="92" customFormat="false" ht="15" hidden="true" customHeight="true" outlineLevel="0" collapsed="false">
      <c r="B92" s="361" t="n">
        <v>45842</v>
      </c>
      <c r="C92" s="330" t="s">
        <v>561</v>
      </c>
      <c r="D92" s="362" t="s">
        <v>516</v>
      </c>
      <c r="E92" s="362" t="s">
        <v>275</v>
      </c>
      <c r="F92" s="363" t="n">
        <v>1976.18</v>
      </c>
      <c r="G92" s="364" t="s">
        <v>204</v>
      </c>
      <c r="H92" s="365" t="n">
        <v>45809</v>
      </c>
      <c r="J92" s="105" t="s">
        <v>41</v>
      </c>
      <c r="K92" s="106"/>
      <c r="L92" s="107" t="n">
        <f aca="false">P91</f>
        <v>12701</v>
      </c>
      <c r="M92" s="107" t="n">
        <f aca="false">M57</f>
        <v>16824.3</v>
      </c>
      <c r="N92" s="107" t="n">
        <f aca="false">M60</f>
        <v>22872.97</v>
      </c>
      <c r="O92" s="331" t="n">
        <f aca="false">M92-N92</f>
        <v>-6048.67</v>
      </c>
      <c r="P92" s="107" t="n">
        <f aca="false">L92+O92</f>
        <v>6652.33</v>
      </c>
    </row>
    <row r="93" customFormat="false" ht="15" hidden="true" customHeight="true" outlineLevel="0" collapsed="false">
      <c r="B93" s="356" t="n">
        <v>45842</v>
      </c>
      <c r="C93" s="332" t="s">
        <v>561</v>
      </c>
      <c r="D93" s="357" t="s">
        <v>519</v>
      </c>
      <c r="E93" s="357" t="s">
        <v>548</v>
      </c>
      <c r="F93" s="358" t="n">
        <v>500</v>
      </c>
      <c r="G93" s="359" t="s">
        <v>196</v>
      </c>
      <c r="H93" s="360" t="n">
        <v>45839</v>
      </c>
      <c r="J93" s="95" t="s">
        <v>43</v>
      </c>
      <c r="K93" s="96"/>
      <c r="L93" s="97" t="n">
        <f aca="false">P92</f>
        <v>6652.33</v>
      </c>
      <c r="M93" s="97" t="n">
        <f aca="false">M101</f>
        <v>23620.44</v>
      </c>
      <c r="N93" s="97" t="n">
        <f aca="false">M104</f>
        <v>19544.34</v>
      </c>
      <c r="O93" s="112" t="n">
        <f aca="false">M93-N93</f>
        <v>4076.1</v>
      </c>
      <c r="P93" s="113" t="n">
        <f aca="false">L93+O93</f>
        <v>10728.43</v>
      </c>
    </row>
    <row r="94" customFormat="false" ht="15" hidden="true" customHeight="true" outlineLevel="0" collapsed="false">
      <c r="B94" s="361" t="n">
        <v>45842</v>
      </c>
      <c r="C94" s="330" t="s">
        <v>561</v>
      </c>
      <c r="D94" s="362" t="s">
        <v>516</v>
      </c>
      <c r="E94" s="362" t="s">
        <v>518</v>
      </c>
      <c r="F94" s="363" t="n">
        <v>250</v>
      </c>
      <c r="G94" s="364" t="s">
        <v>196</v>
      </c>
      <c r="H94" s="365" t="n">
        <v>45839</v>
      </c>
      <c r="J94" s="105" t="s">
        <v>44</v>
      </c>
      <c r="K94" s="106"/>
      <c r="L94" s="107"/>
      <c r="M94" s="107"/>
      <c r="N94" s="107"/>
      <c r="O94" s="119"/>
      <c r="P94" s="107"/>
    </row>
    <row r="95" customFormat="false" ht="15" hidden="true" customHeight="true" outlineLevel="0" collapsed="false">
      <c r="B95" s="346" t="n">
        <v>45845</v>
      </c>
      <c r="C95" s="329" t="s">
        <v>561</v>
      </c>
      <c r="D95" s="347" t="s">
        <v>313</v>
      </c>
      <c r="E95" s="347" t="s">
        <v>564</v>
      </c>
      <c r="F95" s="348" t="n">
        <v>1900</v>
      </c>
      <c r="G95" s="349" t="s">
        <v>196</v>
      </c>
      <c r="H95" s="350" t="n">
        <v>45839</v>
      </c>
      <c r="J95" s="95" t="s">
        <v>45</v>
      </c>
      <c r="K95" s="96"/>
      <c r="L95" s="97"/>
      <c r="M95" s="97"/>
      <c r="N95" s="97"/>
      <c r="O95" s="112"/>
      <c r="P95" s="113"/>
    </row>
    <row r="96" customFormat="false" ht="15" hidden="true" customHeight="true" outlineLevel="0" collapsed="false">
      <c r="B96" s="351" t="n">
        <v>45845</v>
      </c>
      <c r="C96" s="333" t="s">
        <v>561</v>
      </c>
      <c r="D96" s="352" t="s">
        <v>313</v>
      </c>
      <c r="E96" s="352" t="s">
        <v>510</v>
      </c>
      <c r="F96" s="353" t="n">
        <v>1976.92</v>
      </c>
      <c r="G96" s="354" t="s">
        <v>196</v>
      </c>
      <c r="H96" s="355" t="n">
        <v>45809</v>
      </c>
      <c r="J96" s="105" t="s">
        <v>46</v>
      </c>
      <c r="K96" s="106"/>
      <c r="L96" s="107"/>
      <c r="M96" s="107"/>
      <c r="N96" s="107"/>
      <c r="O96" s="119"/>
      <c r="P96" s="107"/>
    </row>
    <row r="97" customFormat="false" ht="15" hidden="true" customHeight="true" outlineLevel="0" collapsed="false">
      <c r="B97" s="356" t="n">
        <v>45845</v>
      </c>
      <c r="C97" s="332" t="s">
        <v>561</v>
      </c>
      <c r="D97" s="357" t="s">
        <v>516</v>
      </c>
      <c r="E97" s="357" t="s">
        <v>278</v>
      </c>
      <c r="F97" s="358" t="n">
        <f aca="false">86.94+122.34</f>
        <v>209.28</v>
      </c>
      <c r="G97" s="359" t="s">
        <v>204</v>
      </c>
      <c r="H97" s="360" t="n">
        <v>45839</v>
      </c>
      <c r="J97" s="95" t="s">
        <v>47</v>
      </c>
      <c r="K97" s="96"/>
      <c r="L97" s="99"/>
      <c r="M97" s="99"/>
      <c r="N97" s="99"/>
      <c r="O97" s="125"/>
      <c r="P97" s="83"/>
    </row>
    <row r="98" customFormat="false" ht="15" hidden="true" customHeight="true" outlineLevel="0" collapsed="false">
      <c r="B98" s="351" t="n">
        <v>45846</v>
      </c>
      <c r="C98" s="333" t="s">
        <v>561</v>
      </c>
      <c r="D98" s="352" t="s">
        <v>313</v>
      </c>
      <c r="E98" s="352" t="s">
        <v>547</v>
      </c>
      <c r="F98" s="353" t="n">
        <v>350</v>
      </c>
      <c r="G98" s="354" t="s">
        <v>196</v>
      </c>
      <c r="H98" s="355" t="n">
        <v>45809</v>
      </c>
      <c r="J98" s="105" t="s">
        <v>48</v>
      </c>
      <c r="K98" s="106"/>
      <c r="L98" s="109"/>
      <c r="M98" s="109"/>
      <c r="N98" s="109"/>
      <c r="O98" s="108"/>
      <c r="P98" s="109"/>
    </row>
    <row r="99" customFormat="false" ht="15" hidden="true" customHeight="true" outlineLevel="0" collapsed="false">
      <c r="B99" s="356" t="n">
        <v>45848</v>
      </c>
      <c r="C99" s="332" t="s">
        <v>561</v>
      </c>
      <c r="D99" s="357" t="s">
        <v>513</v>
      </c>
      <c r="E99" s="357" t="s">
        <v>514</v>
      </c>
      <c r="F99" s="358" t="n">
        <v>329.72</v>
      </c>
      <c r="G99" s="359" t="s">
        <v>204</v>
      </c>
      <c r="H99" s="360" t="n">
        <v>45839</v>
      </c>
    </row>
    <row r="100" customFormat="false" ht="15" hidden="true" customHeight="true" outlineLevel="0" collapsed="false">
      <c r="B100" s="361" t="n">
        <v>45849</v>
      </c>
      <c r="C100" s="330" t="s">
        <v>561</v>
      </c>
      <c r="D100" s="362" t="s">
        <v>516</v>
      </c>
      <c r="E100" s="362" t="s">
        <v>276</v>
      </c>
      <c r="F100" s="363" t="n">
        <v>30</v>
      </c>
      <c r="G100" s="364" t="s">
        <v>196</v>
      </c>
      <c r="H100" s="365" t="n">
        <v>45839</v>
      </c>
      <c r="J100" s="367" t="s">
        <v>270</v>
      </c>
      <c r="K100" s="128"/>
      <c r="L100" s="128"/>
      <c r="M100" s="128"/>
    </row>
    <row r="101" customFormat="false" ht="15" hidden="true" customHeight="true" outlineLevel="0" collapsed="false">
      <c r="B101" s="346" t="n">
        <v>45852</v>
      </c>
      <c r="C101" s="329" t="s">
        <v>561</v>
      </c>
      <c r="D101" s="347" t="s">
        <v>313</v>
      </c>
      <c r="E101" s="347" t="s">
        <v>527</v>
      </c>
      <c r="F101" s="348" t="n">
        <v>300</v>
      </c>
      <c r="G101" s="349" t="s">
        <v>196</v>
      </c>
      <c r="H101" s="350" t="n">
        <v>45839</v>
      </c>
      <c r="J101" s="87" t="s">
        <v>271</v>
      </c>
      <c r="K101" s="126"/>
      <c r="L101" s="126"/>
      <c r="M101" s="127" t="n">
        <f aca="false">SUM(M102:M103)</f>
        <v>23620.44</v>
      </c>
    </row>
    <row r="102" customFormat="false" ht="15" hidden="true" customHeight="true" outlineLevel="0" collapsed="false">
      <c r="B102" s="361" t="n">
        <v>45853</v>
      </c>
      <c r="C102" s="330" t="s">
        <v>561</v>
      </c>
      <c r="D102" s="362" t="s">
        <v>544</v>
      </c>
      <c r="E102" s="362" t="s">
        <v>551</v>
      </c>
      <c r="F102" s="363" t="n">
        <v>2500</v>
      </c>
      <c r="G102" s="364" t="s">
        <v>196</v>
      </c>
      <c r="H102" s="365" t="n">
        <v>45839</v>
      </c>
      <c r="J102" s="96" t="s">
        <v>272</v>
      </c>
      <c r="K102" s="96"/>
      <c r="L102" s="96"/>
      <c r="M102" s="99" t="n">
        <f aca="false">SUM(F87,F90,F95,F96,F98,F101,F103,F104,F109,F116,F119,F120,F121,F126,F128,F118,F131,F132,F133,F136,F137)</f>
        <v>23620.44</v>
      </c>
    </row>
    <row r="103" customFormat="false" ht="15" hidden="true" customHeight="true" outlineLevel="0" collapsed="false">
      <c r="B103" s="346" t="n">
        <v>45854</v>
      </c>
      <c r="C103" s="329" t="s">
        <v>561</v>
      </c>
      <c r="D103" s="347" t="s">
        <v>313</v>
      </c>
      <c r="E103" s="347" t="s">
        <v>183</v>
      </c>
      <c r="F103" s="348" t="n">
        <v>600</v>
      </c>
      <c r="G103" s="349" t="s">
        <v>196</v>
      </c>
      <c r="H103" s="350" t="n">
        <v>45839</v>
      </c>
      <c r="J103" s="96" t="s">
        <v>273</v>
      </c>
      <c r="K103" s="96"/>
      <c r="L103" s="96"/>
      <c r="M103" s="83"/>
    </row>
    <row r="104" customFormat="false" ht="15" hidden="true" customHeight="true" outlineLevel="0" collapsed="false">
      <c r="B104" s="351" t="n">
        <v>45854</v>
      </c>
      <c r="C104" s="333" t="s">
        <v>561</v>
      </c>
      <c r="D104" s="352" t="s">
        <v>313</v>
      </c>
      <c r="E104" s="352" t="s">
        <v>182</v>
      </c>
      <c r="F104" s="353" t="n">
        <v>1500</v>
      </c>
      <c r="G104" s="354" t="s">
        <v>196</v>
      </c>
      <c r="H104" s="355" t="n">
        <v>45839</v>
      </c>
      <c r="J104" s="87" t="s">
        <v>274</v>
      </c>
      <c r="K104" s="126"/>
      <c r="L104" s="126"/>
      <c r="M104" s="127" t="n">
        <f aca="false">SUM(M105:M109)</f>
        <v>19544.34</v>
      </c>
    </row>
    <row r="105" customFormat="false" ht="15" hidden="true" customHeight="true" outlineLevel="0" collapsed="false">
      <c r="B105" s="361" t="n">
        <v>45854</v>
      </c>
      <c r="C105" s="330" t="s">
        <v>561</v>
      </c>
      <c r="D105" s="362" t="s">
        <v>516</v>
      </c>
      <c r="E105" s="362" t="s">
        <v>518</v>
      </c>
      <c r="F105" s="363" t="n">
        <v>220</v>
      </c>
      <c r="G105" s="364" t="s">
        <v>196</v>
      </c>
      <c r="H105" s="365" t="n">
        <v>45839</v>
      </c>
      <c r="J105" s="96" t="s">
        <v>523</v>
      </c>
      <c r="K105" s="96"/>
      <c r="L105" s="96"/>
      <c r="M105" s="99" t="n">
        <f aca="false">SUM(F91,F102,F107,F108,F110,F112,F114,F115,F117,F122,F123,F129,F124,F135,F138)</f>
        <v>14422.6</v>
      </c>
    </row>
    <row r="106" customFormat="false" ht="15" hidden="true" customHeight="true" outlineLevel="0" collapsed="false">
      <c r="B106" s="356" t="n">
        <v>45854</v>
      </c>
      <c r="C106" s="332" t="s">
        <v>561</v>
      </c>
      <c r="D106" s="357" t="s">
        <v>304</v>
      </c>
      <c r="E106" s="357" t="s">
        <v>565</v>
      </c>
      <c r="F106" s="358" t="n">
        <v>28.9</v>
      </c>
      <c r="G106" s="359" t="s">
        <v>204</v>
      </c>
      <c r="H106" s="360" t="n">
        <v>45809</v>
      </c>
      <c r="J106" s="96" t="s">
        <v>388</v>
      </c>
      <c r="K106" s="96"/>
      <c r="L106" s="96"/>
      <c r="M106" s="99" t="n">
        <f aca="false">SUM(F99)</f>
        <v>329.72</v>
      </c>
    </row>
    <row r="107" customFormat="false" ht="15" hidden="true" customHeight="true" outlineLevel="0" collapsed="false">
      <c r="B107" s="361" t="n">
        <v>45856</v>
      </c>
      <c r="C107" s="330" t="s">
        <v>561</v>
      </c>
      <c r="D107" s="362" t="s">
        <v>544</v>
      </c>
      <c r="E107" s="362" t="s">
        <v>521</v>
      </c>
      <c r="F107" s="363" t="n">
        <v>2696</v>
      </c>
      <c r="G107" s="364" t="s">
        <v>196</v>
      </c>
      <c r="H107" s="365" t="n">
        <v>45839</v>
      </c>
      <c r="J107" s="96" t="s">
        <v>526</v>
      </c>
      <c r="K107" s="96"/>
      <c r="L107" s="96"/>
      <c r="M107" s="99" t="n">
        <f aca="false">SUM(F92,F94,F97,F100,F105,F113,F125,F130,F134,F139)</f>
        <v>3235.32</v>
      </c>
    </row>
    <row r="108" customFormat="false" ht="15" hidden="true" customHeight="true" outlineLevel="0" collapsed="false">
      <c r="B108" s="356" t="n">
        <v>45856</v>
      </c>
      <c r="C108" s="332" t="s">
        <v>561</v>
      </c>
      <c r="D108" s="357" t="s">
        <v>544</v>
      </c>
      <c r="E108" s="357" t="s">
        <v>522</v>
      </c>
      <c r="F108" s="358" t="n">
        <v>1696</v>
      </c>
      <c r="G108" s="359" t="s">
        <v>196</v>
      </c>
      <c r="H108" s="360" t="n">
        <v>45839</v>
      </c>
      <c r="J108" s="96" t="s">
        <v>280</v>
      </c>
      <c r="K108" s="96"/>
      <c r="L108" s="96"/>
      <c r="M108" s="99" t="n">
        <f aca="false">SUM(F106,F111)</f>
        <v>352.91</v>
      </c>
    </row>
    <row r="109" customFormat="false" ht="15" hidden="true" customHeight="true" outlineLevel="0" collapsed="false">
      <c r="B109" s="351" t="n">
        <v>45859</v>
      </c>
      <c r="C109" s="333" t="s">
        <v>561</v>
      </c>
      <c r="D109" s="352" t="s">
        <v>313</v>
      </c>
      <c r="E109" s="352" t="s">
        <v>76</v>
      </c>
      <c r="F109" s="353" t="n">
        <v>750</v>
      </c>
      <c r="G109" s="354" t="s">
        <v>204</v>
      </c>
      <c r="H109" s="355" t="n">
        <v>45839</v>
      </c>
      <c r="J109" s="96" t="s">
        <v>529</v>
      </c>
      <c r="K109" s="96"/>
      <c r="L109" s="96"/>
      <c r="M109" s="99" t="n">
        <f aca="false">SUM(F93,F89,F127)</f>
        <v>1203.79</v>
      </c>
    </row>
    <row r="110" customFormat="false" ht="15" hidden="true" customHeight="true" outlineLevel="0" collapsed="false">
      <c r="B110" s="356" t="n">
        <v>45859</v>
      </c>
      <c r="C110" s="332" t="s">
        <v>563</v>
      </c>
      <c r="D110" s="357" t="s">
        <v>544</v>
      </c>
      <c r="E110" s="357" t="s">
        <v>521</v>
      </c>
      <c r="F110" s="358" t="n">
        <v>750</v>
      </c>
      <c r="G110" s="359" t="s">
        <v>196</v>
      </c>
      <c r="H110" s="360" t="n">
        <v>45839</v>
      </c>
    </row>
    <row r="111" customFormat="false" ht="15" hidden="true" customHeight="true" outlineLevel="0" collapsed="false">
      <c r="B111" s="361" t="n">
        <v>45859</v>
      </c>
      <c r="C111" s="330" t="s">
        <v>561</v>
      </c>
      <c r="D111" s="362" t="s">
        <v>304</v>
      </c>
      <c r="E111" s="362" t="s">
        <v>515</v>
      </c>
      <c r="F111" s="363" t="n">
        <v>324.01</v>
      </c>
      <c r="G111" s="364" t="s">
        <v>204</v>
      </c>
      <c r="H111" s="365" t="n">
        <v>45809</v>
      </c>
    </row>
    <row r="112" customFormat="false" ht="15" hidden="true" customHeight="true" outlineLevel="0" collapsed="false">
      <c r="B112" s="356" t="n">
        <v>45859</v>
      </c>
      <c r="C112" s="332" t="s">
        <v>561</v>
      </c>
      <c r="D112" s="357" t="s">
        <v>544</v>
      </c>
      <c r="E112" s="357" t="s">
        <v>566</v>
      </c>
      <c r="F112" s="358" t="n">
        <v>83.52</v>
      </c>
      <c r="G112" s="359" t="s">
        <v>196</v>
      </c>
      <c r="H112" s="360" t="n">
        <v>45839</v>
      </c>
    </row>
    <row r="113" customFormat="false" ht="15" hidden="true" customHeight="true" outlineLevel="0" collapsed="false">
      <c r="B113" s="361" t="n">
        <v>45860</v>
      </c>
      <c r="C113" s="330" t="s">
        <v>561</v>
      </c>
      <c r="D113" s="362" t="s">
        <v>516</v>
      </c>
      <c r="E113" s="362" t="s">
        <v>530</v>
      </c>
      <c r="F113" s="363" t="n">
        <v>75</v>
      </c>
      <c r="G113" s="364" t="s">
        <v>196</v>
      </c>
      <c r="H113" s="365" t="n">
        <v>45839</v>
      </c>
    </row>
    <row r="114" customFormat="false" ht="15" hidden="true" customHeight="true" outlineLevel="0" collapsed="false">
      <c r="B114" s="356" t="n">
        <v>45861</v>
      </c>
      <c r="C114" s="332" t="s">
        <v>563</v>
      </c>
      <c r="D114" s="357" t="s">
        <v>544</v>
      </c>
      <c r="E114" s="357" t="s">
        <v>556</v>
      </c>
      <c r="F114" s="358" t="n">
        <v>200</v>
      </c>
      <c r="G114" s="359" t="s">
        <v>196</v>
      </c>
      <c r="H114" s="360" t="n">
        <v>45839</v>
      </c>
    </row>
    <row r="115" customFormat="false" ht="15" hidden="true" customHeight="true" outlineLevel="0" collapsed="false">
      <c r="B115" s="361" t="n">
        <v>45861</v>
      </c>
      <c r="C115" s="330" t="s">
        <v>563</v>
      </c>
      <c r="D115" s="362" t="s">
        <v>544</v>
      </c>
      <c r="E115" s="362" t="s">
        <v>559</v>
      </c>
      <c r="F115" s="363" t="n">
        <v>1580</v>
      </c>
      <c r="G115" s="364" t="s">
        <v>196</v>
      </c>
      <c r="H115" s="365" t="n">
        <v>45839</v>
      </c>
    </row>
    <row r="116" customFormat="false" ht="15" hidden="true" customHeight="true" outlineLevel="0" collapsed="false">
      <c r="B116" s="346" t="n">
        <v>45861</v>
      </c>
      <c r="C116" s="368" t="s">
        <v>563</v>
      </c>
      <c r="D116" s="347" t="s">
        <v>313</v>
      </c>
      <c r="E116" s="347" t="s">
        <v>527</v>
      </c>
      <c r="F116" s="348" t="n">
        <v>300</v>
      </c>
      <c r="G116" s="349" t="s">
        <v>196</v>
      </c>
      <c r="H116" s="350" t="n">
        <v>45839</v>
      </c>
    </row>
    <row r="117" customFormat="false" ht="15" hidden="true" customHeight="true" outlineLevel="0" collapsed="false">
      <c r="B117" s="361" t="n">
        <v>45861</v>
      </c>
      <c r="C117" s="330" t="s">
        <v>563</v>
      </c>
      <c r="D117" s="362" t="s">
        <v>544</v>
      </c>
      <c r="E117" s="362" t="s">
        <v>567</v>
      </c>
      <c r="F117" s="363" t="n">
        <v>95.6</v>
      </c>
      <c r="G117" s="364" t="s">
        <v>196</v>
      </c>
      <c r="H117" s="365" t="n">
        <v>45839</v>
      </c>
    </row>
    <row r="118" customFormat="false" ht="15" hidden="true" customHeight="true" outlineLevel="0" collapsed="false">
      <c r="B118" s="346" t="n">
        <v>45862</v>
      </c>
      <c r="C118" s="329" t="s">
        <v>561</v>
      </c>
      <c r="D118" s="347" t="s">
        <v>313</v>
      </c>
      <c r="E118" s="347" t="s">
        <v>83</v>
      </c>
      <c r="F118" s="348" t="n">
        <v>1500</v>
      </c>
      <c r="G118" s="349" t="s">
        <v>196</v>
      </c>
      <c r="H118" s="350" t="n">
        <v>45809</v>
      </c>
    </row>
    <row r="119" customFormat="false" ht="15" hidden="true" customHeight="true" outlineLevel="0" collapsed="false">
      <c r="B119" s="351" t="n">
        <v>45863</v>
      </c>
      <c r="C119" s="333" t="s">
        <v>563</v>
      </c>
      <c r="D119" s="352" t="s">
        <v>313</v>
      </c>
      <c r="E119" s="352" t="s">
        <v>533</v>
      </c>
      <c r="F119" s="353" t="n">
        <v>1500</v>
      </c>
      <c r="G119" s="354" t="s">
        <v>204</v>
      </c>
      <c r="H119" s="355" t="n">
        <v>45839</v>
      </c>
    </row>
    <row r="120" customFormat="false" ht="15" hidden="true" customHeight="true" outlineLevel="0" collapsed="false">
      <c r="B120" s="346" t="n">
        <v>45863</v>
      </c>
      <c r="C120" s="329" t="s">
        <v>563</v>
      </c>
      <c r="D120" s="347" t="s">
        <v>313</v>
      </c>
      <c r="E120" s="347" t="s">
        <v>64</v>
      </c>
      <c r="F120" s="348" t="n">
        <v>1900</v>
      </c>
      <c r="G120" s="349" t="s">
        <v>204</v>
      </c>
      <c r="H120" s="350" t="n">
        <v>45839</v>
      </c>
    </row>
    <row r="121" customFormat="false" ht="15" hidden="true" customHeight="true" outlineLevel="0" collapsed="false">
      <c r="B121" s="351" t="n">
        <v>45863</v>
      </c>
      <c r="C121" s="333" t="s">
        <v>563</v>
      </c>
      <c r="D121" s="352" t="s">
        <v>313</v>
      </c>
      <c r="E121" s="352" t="s">
        <v>191</v>
      </c>
      <c r="F121" s="353" t="n">
        <v>1350</v>
      </c>
      <c r="G121" s="354" t="s">
        <v>204</v>
      </c>
      <c r="H121" s="355" t="n">
        <v>45839</v>
      </c>
    </row>
    <row r="122" customFormat="false" ht="15" hidden="true" customHeight="true" outlineLevel="0" collapsed="false">
      <c r="B122" s="356" t="n">
        <v>45863</v>
      </c>
      <c r="C122" s="332" t="s">
        <v>563</v>
      </c>
      <c r="D122" s="357" t="s">
        <v>544</v>
      </c>
      <c r="E122" s="357" t="s">
        <v>532</v>
      </c>
      <c r="F122" s="358" t="n">
        <v>1580.9</v>
      </c>
      <c r="G122" s="359" t="s">
        <v>196</v>
      </c>
      <c r="H122" s="360" t="n">
        <v>45839</v>
      </c>
    </row>
    <row r="123" customFormat="false" ht="15" hidden="true" customHeight="true" outlineLevel="0" collapsed="false">
      <c r="B123" s="361" t="n">
        <v>45863</v>
      </c>
      <c r="C123" s="330" t="s">
        <v>563</v>
      </c>
      <c r="D123" s="362" t="s">
        <v>544</v>
      </c>
      <c r="E123" s="362" t="s">
        <v>537</v>
      </c>
      <c r="F123" s="363" t="n">
        <v>516.25</v>
      </c>
      <c r="G123" s="364" t="s">
        <v>196</v>
      </c>
      <c r="H123" s="365" t="n">
        <v>45839</v>
      </c>
    </row>
    <row r="124" customFormat="false" ht="15" hidden="true" customHeight="true" outlineLevel="0" collapsed="false">
      <c r="B124" s="356" t="n">
        <v>45863</v>
      </c>
      <c r="C124" s="332" t="s">
        <v>563</v>
      </c>
      <c r="D124" s="357" t="s">
        <v>544</v>
      </c>
      <c r="E124" s="357" t="s">
        <v>559</v>
      </c>
      <c r="F124" s="358" t="n">
        <v>64</v>
      </c>
      <c r="G124" s="359" t="s">
        <v>196</v>
      </c>
      <c r="H124" s="360" t="n">
        <v>45839</v>
      </c>
    </row>
    <row r="125" customFormat="false" ht="15" hidden="true" customHeight="true" outlineLevel="0" collapsed="false">
      <c r="B125" s="361" t="n">
        <v>45863</v>
      </c>
      <c r="C125" s="330" t="s">
        <v>561</v>
      </c>
      <c r="D125" s="362" t="s">
        <v>516</v>
      </c>
      <c r="E125" s="362" t="s">
        <v>276</v>
      </c>
      <c r="F125" s="363" t="n">
        <v>30</v>
      </c>
      <c r="G125" s="364" t="s">
        <v>196</v>
      </c>
      <c r="H125" s="365" t="n">
        <v>45839</v>
      </c>
    </row>
    <row r="126" customFormat="false" ht="15" hidden="true" customHeight="true" outlineLevel="0" collapsed="false">
      <c r="B126" s="346" t="n">
        <v>45864</v>
      </c>
      <c r="C126" s="329" t="s">
        <v>561</v>
      </c>
      <c r="D126" s="347" t="s">
        <v>313</v>
      </c>
      <c r="E126" s="347" t="s">
        <v>541</v>
      </c>
      <c r="F126" s="348" t="n">
        <v>650</v>
      </c>
      <c r="G126" s="349" t="s">
        <v>196</v>
      </c>
      <c r="H126" s="350" t="n">
        <v>45839</v>
      </c>
    </row>
    <row r="127" customFormat="false" ht="15" hidden="true" customHeight="true" outlineLevel="0" collapsed="false">
      <c r="B127" s="361" t="n">
        <v>45865</v>
      </c>
      <c r="C127" s="330" t="s">
        <v>563</v>
      </c>
      <c r="D127" s="362" t="s">
        <v>519</v>
      </c>
      <c r="E127" s="362" t="s">
        <v>568</v>
      </c>
      <c r="F127" s="363" t="n">
        <f aca="false">172.29+151.5</f>
        <v>323.79</v>
      </c>
      <c r="G127" s="364" t="s">
        <v>196</v>
      </c>
      <c r="H127" s="365" t="n">
        <v>45839</v>
      </c>
    </row>
    <row r="128" customFormat="false" ht="15" hidden="true" customHeight="true" outlineLevel="0" collapsed="false">
      <c r="B128" s="346" t="n">
        <v>45866</v>
      </c>
      <c r="C128" s="329" t="s">
        <v>563</v>
      </c>
      <c r="D128" s="347" t="s">
        <v>313</v>
      </c>
      <c r="E128" s="347" t="s">
        <v>538</v>
      </c>
      <c r="F128" s="348" t="n">
        <v>500</v>
      </c>
      <c r="G128" s="349" t="s">
        <v>196</v>
      </c>
      <c r="H128" s="350" t="n">
        <v>45839</v>
      </c>
    </row>
    <row r="129" customFormat="false" ht="15" hidden="true" customHeight="true" outlineLevel="0" collapsed="false">
      <c r="B129" s="361" t="n">
        <v>45866</v>
      </c>
      <c r="C129" s="330" t="s">
        <v>563</v>
      </c>
      <c r="D129" s="362" t="s">
        <v>544</v>
      </c>
      <c r="E129" s="362" t="s">
        <v>567</v>
      </c>
      <c r="F129" s="363" t="n">
        <v>18</v>
      </c>
      <c r="G129" s="364" t="s">
        <v>196</v>
      </c>
      <c r="H129" s="365" t="n">
        <v>45839</v>
      </c>
    </row>
    <row r="130" customFormat="false" ht="15" hidden="true" customHeight="true" outlineLevel="0" collapsed="false">
      <c r="B130" s="356" t="n">
        <v>45867</v>
      </c>
      <c r="C130" s="332" t="s">
        <v>563</v>
      </c>
      <c r="D130" s="357" t="s">
        <v>516</v>
      </c>
      <c r="E130" s="357" t="s">
        <v>536</v>
      </c>
      <c r="F130" s="358" t="n">
        <v>106.26</v>
      </c>
      <c r="G130" s="359" t="s">
        <v>196</v>
      </c>
      <c r="H130" s="360" t="n">
        <v>45839</v>
      </c>
    </row>
    <row r="131" customFormat="false" ht="15" hidden="true" customHeight="true" outlineLevel="0" collapsed="false">
      <c r="B131" s="351" t="n">
        <v>45861</v>
      </c>
      <c r="C131" s="333" t="s">
        <v>563</v>
      </c>
      <c r="D131" s="352" t="s">
        <v>313</v>
      </c>
      <c r="E131" s="352" t="s">
        <v>527</v>
      </c>
      <c r="F131" s="353" t="n">
        <v>800</v>
      </c>
      <c r="G131" s="354" t="s">
        <v>196</v>
      </c>
      <c r="H131" s="355" t="n">
        <v>45809</v>
      </c>
    </row>
    <row r="132" customFormat="false" ht="15" hidden="true" customHeight="true" outlineLevel="0" collapsed="false">
      <c r="B132" s="346" t="n">
        <v>45868</v>
      </c>
      <c r="C132" s="329" t="s">
        <v>563</v>
      </c>
      <c r="D132" s="347" t="s">
        <v>313</v>
      </c>
      <c r="E132" s="347" t="s">
        <v>542</v>
      </c>
      <c r="F132" s="348" t="n">
        <v>1250</v>
      </c>
      <c r="G132" s="349" t="s">
        <v>204</v>
      </c>
      <c r="H132" s="350" t="n">
        <v>45839</v>
      </c>
    </row>
    <row r="133" customFormat="false" ht="15" hidden="true" customHeight="true" outlineLevel="0" collapsed="false">
      <c r="B133" s="351" t="n">
        <v>45868</v>
      </c>
      <c r="C133" s="333" t="s">
        <v>563</v>
      </c>
      <c r="D133" s="352" t="s">
        <v>313</v>
      </c>
      <c r="E133" s="352" t="s">
        <v>560</v>
      </c>
      <c r="F133" s="353" t="n">
        <v>2000</v>
      </c>
      <c r="G133" s="354" t="s">
        <v>204</v>
      </c>
      <c r="H133" s="355" t="n">
        <v>45839</v>
      </c>
    </row>
    <row r="134" customFormat="false" ht="15" hidden="true" customHeight="true" outlineLevel="0" collapsed="false">
      <c r="B134" s="356" t="n">
        <v>45868</v>
      </c>
      <c r="C134" s="332" t="s">
        <v>563</v>
      </c>
      <c r="D134" s="357" t="s">
        <v>516</v>
      </c>
      <c r="E134" s="357" t="s">
        <v>569</v>
      </c>
      <c r="F134" s="358" t="n">
        <v>289.3</v>
      </c>
      <c r="G134" s="359" t="s">
        <v>196</v>
      </c>
      <c r="H134" s="360" t="n">
        <v>45839</v>
      </c>
    </row>
    <row r="135" customFormat="false" ht="15" hidden="true" customHeight="true" outlineLevel="0" collapsed="false">
      <c r="B135" s="361" t="n">
        <v>45868</v>
      </c>
      <c r="C135" s="330" t="s">
        <v>563</v>
      </c>
      <c r="D135" s="362" t="s">
        <v>544</v>
      </c>
      <c r="E135" s="362" t="s">
        <v>570</v>
      </c>
      <c r="F135" s="363" t="n">
        <v>1894.2</v>
      </c>
      <c r="G135" s="364" t="s">
        <v>196</v>
      </c>
      <c r="H135" s="365" t="n">
        <v>45839</v>
      </c>
    </row>
    <row r="136" customFormat="false" ht="15" hidden="true" customHeight="true" outlineLevel="0" collapsed="false">
      <c r="B136" s="346" t="n">
        <v>45868</v>
      </c>
      <c r="C136" s="329" t="s">
        <v>563</v>
      </c>
      <c r="D136" s="347" t="s">
        <v>313</v>
      </c>
      <c r="E136" s="347" t="s">
        <v>205</v>
      </c>
      <c r="F136" s="348" t="n">
        <v>600</v>
      </c>
      <c r="G136" s="349" t="s">
        <v>196</v>
      </c>
      <c r="H136" s="350" t="n">
        <v>45839</v>
      </c>
    </row>
    <row r="137" customFormat="false" ht="15" hidden="true" customHeight="true" outlineLevel="0" collapsed="false">
      <c r="B137" s="351" t="n">
        <v>45869</v>
      </c>
      <c r="C137" s="333" t="s">
        <v>561</v>
      </c>
      <c r="D137" s="352" t="s">
        <v>313</v>
      </c>
      <c r="E137" s="352" t="s">
        <v>510</v>
      </c>
      <c r="F137" s="353" t="n">
        <v>1993.52</v>
      </c>
      <c r="G137" s="354" t="s">
        <v>196</v>
      </c>
      <c r="H137" s="355" t="n">
        <v>45839</v>
      </c>
    </row>
    <row r="138" customFormat="false" ht="15" hidden="true" customHeight="true" outlineLevel="0" collapsed="false">
      <c r="B138" s="356" t="n">
        <v>45869</v>
      </c>
      <c r="C138" s="332" t="s">
        <v>561</v>
      </c>
      <c r="D138" s="357" t="s">
        <v>544</v>
      </c>
      <c r="E138" s="357" t="s">
        <v>556</v>
      </c>
      <c r="F138" s="358" t="n">
        <v>300</v>
      </c>
      <c r="G138" s="359" t="s">
        <v>196</v>
      </c>
      <c r="H138" s="360" t="n">
        <v>45839</v>
      </c>
    </row>
    <row r="139" customFormat="false" ht="15" hidden="true" customHeight="true" outlineLevel="0" collapsed="false">
      <c r="B139" s="361" t="n">
        <v>45869</v>
      </c>
      <c r="C139" s="330" t="s">
        <v>563</v>
      </c>
      <c r="D139" s="362" t="s">
        <v>516</v>
      </c>
      <c r="E139" s="362" t="s">
        <v>553</v>
      </c>
      <c r="F139" s="363" t="n">
        <v>49.3</v>
      </c>
      <c r="G139" s="364" t="s">
        <v>196</v>
      </c>
      <c r="H139" s="365" t="n">
        <v>45839</v>
      </c>
    </row>
    <row r="140" customFormat="false" ht="15" hidden="true" customHeight="true" outlineLevel="0" collapsed="false">
      <c r="B140" s="356" t="n">
        <v>45870</v>
      </c>
      <c r="C140" s="332" t="s">
        <v>571</v>
      </c>
      <c r="D140" s="357" t="s">
        <v>516</v>
      </c>
      <c r="E140" s="357" t="s">
        <v>518</v>
      </c>
      <c r="F140" s="358" t="n">
        <v>239.2</v>
      </c>
      <c r="G140" s="359" t="s">
        <v>196</v>
      </c>
      <c r="H140" s="360" t="n">
        <v>45839</v>
      </c>
      <c r="J140" s="95" t="s">
        <v>269</v>
      </c>
      <c r="K140" s="96"/>
      <c r="L140" s="97" t="n">
        <v>7284</v>
      </c>
      <c r="M140" s="97" t="n">
        <v>16964.99</v>
      </c>
      <c r="N140" s="97" t="n">
        <v>16001.81</v>
      </c>
      <c r="O140" s="98" t="n">
        <f aca="false">M140-N140</f>
        <v>963.180000000002</v>
      </c>
      <c r="P140" s="99" t="n">
        <f aca="false">L140+O140</f>
        <v>8247.18</v>
      </c>
    </row>
    <row r="141" customFormat="false" ht="15" hidden="true" customHeight="true" outlineLevel="0" collapsed="false">
      <c r="B141" s="361" t="n">
        <v>45873</v>
      </c>
      <c r="C141" s="330" t="s">
        <v>571</v>
      </c>
      <c r="D141" s="362" t="s">
        <v>519</v>
      </c>
      <c r="E141" s="362" t="s">
        <v>548</v>
      </c>
      <c r="F141" s="363" t="n">
        <v>500</v>
      </c>
      <c r="G141" s="364" t="s">
        <v>196</v>
      </c>
      <c r="H141" s="365" t="n">
        <v>45870</v>
      </c>
      <c r="J141" s="105" t="s">
        <v>28</v>
      </c>
      <c r="K141" s="106"/>
      <c r="L141" s="107" t="n">
        <v>8247.18</v>
      </c>
      <c r="M141" s="107" t="n">
        <v>22253.63</v>
      </c>
      <c r="N141" s="107" t="n">
        <v>17207.49</v>
      </c>
      <c r="O141" s="108" t="n">
        <f aca="false">M141-N141</f>
        <v>5046.14</v>
      </c>
      <c r="P141" s="109" t="n">
        <f aca="false">L141+O141</f>
        <v>13293.32</v>
      </c>
    </row>
    <row r="142" customFormat="false" ht="15" hidden="true" customHeight="true" outlineLevel="0" collapsed="false">
      <c r="B142" s="356" t="n">
        <v>45873</v>
      </c>
      <c r="C142" s="332" t="s">
        <v>571</v>
      </c>
      <c r="D142" s="357" t="s">
        <v>513</v>
      </c>
      <c r="E142" s="357" t="s">
        <v>539</v>
      </c>
      <c r="F142" s="358" t="n">
        <v>2177.5</v>
      </c>
      <c r="G142" s="359" t="s">
        <v>204</v>
      </c>
      <c r="H142" s="360" t="n">
        <v>45839</v>
      </c>
      <c r="J142" s="95" t="s">
        <v>31</v>
      </c>
      <c r="K142" s="96"/>
      <c r="L142" s="97" t="n">
        <v>13293.32</v>
      </c>
      <c r="M142" s="97" t="n">
        <v>16900</v>
      </c>
      <c r="N142" s="97" t="n">
        <v>20527.31</v>
      </c>
      <c r="O142" s="110" t="n">
        <f aca="false">M142-N142</f>
        <v>-3627.31</v>
      </c>
      <c r="P142" s="99" t="n">
        <f aca="false">L142+O142</f>
        <v>9666.01</v>
      </c>
    </row>
    <row r="143" customFormat="false" ht="15" hidden="true" customHeight="true" outlineLevel="0" collapsed="false">
      <c r="B143" s="361" t="n">
        <v>45873</v>
      </c>
      <c r="C143" s="330" t="s">
        <v>571</v>
      </c>
      <c r="D143" s="362" t="s">
        <v>516</v>
      </c>
      <c r="E143" s="362" t="s">
        <v>275</v>
      </c>
      <c r="F143" s="363" t="n">
        <v>1975.41</v>
      </c>
      <c r="G143" s="364" t="s">
        <v>204</v>
      </c>
      <c r="H143" s="365" t="n">
        <v>45839</v>
      </c>
      <c r="J143" s="105" t="s">
        <v>34</v>
      </c>
      <c r="K143" s="106"/>
      <c r="L143" s="107" t="n">
        <v>9666.01</v>
      </c>
      <c r="M143" s="107" t="n">
        <v>19175.97</v>
      </c>
      <c r="N143" s="107" t="n">
        <v>19900</v>
      </c>
      <c r="O143" s="111" t="n">
        <f aca="false">M143-N143</f>
        <v>-724.029999999999</v>
      </c>
      <c r="P143" s="109" t="n">
        <f aca="false">L143+O143</f>
        <v>8941.98</v>
      </c>
    </row>
    <row r="144" customFormat="false" ht="15" hidden="true" customHeight="true" outlineLevel="0" collapsed="false">
      <c r="B144" s="346" t="n">
        <v>45874</v>
      </c>
      <c r="C144" s="329" t="s">
        <v>571</v>
      </c>
      <c r="D144" s="347" t="s">
        <v>313</v>
      </c>
      <c r="E144" s="347" t="s">
        <v>83</v>
      </c>
      <c r="F144" s="348" t="n">
        <v>800</v>
      </c>
      <c r="G144" s="349" t="s">
        <v>196</v>
      </c>
      <c r="H144" s="350" t="n">
        <v>45839</v>
      </c>
      <c r="J144" s="95" t="s">
        <v>38</v>
      </c>
      <c r="K144" s="96"/>
      <c r="L144" s="97" t="n">
        <v>8941.98</v>
      </c>
      <c r="M144" s="97" t="n">
        <f aca="false">M20</f>
        <v>21491.14</v>
      </c>
      <c r="N144" s="97" t="n">
        <f aca="false">M23</f>
        <v>17732.12</v>
      </c>
      <c r="O144" s="112" t="n">
        <f aca="false">M144-N144</f>
        <v>3759.02</v>
      </c>
      <c r="P144" s="113" t="n">
        <f aca="false">L144+O144</f>
        <v>12701</v>
      </c>
    </row>
    <row r="145" customFormat="false" ht="15" hidden="true" customHeight="true" outlineLevel="0" collapsed="false">
      <c r="B145" s="351" t="n">
        <v>45874</v>
      </c>
      <c r="C145" s="333" t="s">
        <v>571</v>
      </c>
      <c r="D145" s="352" t="s">
        <v>313</v>
      </c>
      <c r="E145" s="352" t="s">
        <v>509</v>
      </c>
      <c r="F145" s="353" t="n">
        <v>1250</v>
      </c>
      <c r="G145" s="354" t="s">
        <v>204</v>
      </c>
      <c r="H145" s="355" t="n">
        <v>45839</v>
      </c>
      <c r="J145" s="105" t="s">
        <v>41</v>
      </c>
      <c r="K145" s="106"/>
      <c r="L145" s="107" t="n">
        <f aca="false">P91</f>
        <v>12701</v>
      </c>
      <c r="M145" s="107" t="n">
        <f aca="false">M57</f>
        <v>16824.3</v>
      </c>
      <c r="N145" s="107" t="n">
        <f aca="false">M60</f>
        <v>22872.97</v>
      </c>
      <c r="O145" s="331" t="n">
        <f aca="false">M145-N145</f>
        <v>-6048.67</v>
      </c>
      <c r="P145" s="107" t="n">
        <f aca="false">L145+O145</f>
        <v>6652.33</v>
      </c>
    </row>
    <row r="146" customFormat="false" ht="15" hidden="true" customHeight="true" outlineLevel="0" collapsed="false">
      <c r="B146" s="356" t="n">
        <v>45875</v>
      </c>
      <c r="C146" s="332" t="s">
        <v>571</v>
      </c>
      <c r="D146" s="357" t="s">
        <v>516</v>
      </c>
      <c r="E146" s="357" t="s">
        <v>572</v>
      </c>
      <c r="F146" s="358" t="n">
        <v>75</v>
      </c>
      <c r="G146" s="359" t="s">
        <v>196</v>
      </c>
      <c r="H146" s="360" t="n">
        <v>45870</v>
      </c>
      <c r="J146" s="95" t="s">
        <v>43</v>
      </c>
      <c r="K146" s="96"/>
      <c r="L146" s="97" t="n">
        <f aca="false">P92</f>
        <v>6652.33</v>
      </c>
      <c r="M146" s="97" t="n">
        <f aca="false">M101</f>
        <v>23620.44</v>
      </c>
      <c r="N146" s="97" t="n">
        <f aca="false">M104</f>
        <v>19544.34</v>
      </c>
      <c r="O146" s="112" t="n">
        <f aca="false">M146-N146</f>
        <v>4076.1</v>
      </c>
      <c r="P146" s="113" t="n">
        <f aca="false">L146+O146</f>
        <v>10728.43</v>
      </c>
    </row>
    <row r="147" customFormat="false" ht="15" hidden="true" customHeight="true" outlineLevel="0" collapsed="false">
      <c r="B147" s="361" t="n">
        <v>45876</v>
      </c>
      <c r="C147" s="330" t="s">
        <v>571</v>
      </c>
      <c r="D147" s="362" t="s">
        <v>516</v>
      </c>
      <c r="E147" s="362" t="s">
        <v>276</v>
      </c>
      <c r="F147" s="363" t="n">
        <v>30</v>
      </c>
      <c r="G147" s="364" t="s">
        <v>196</v>
      </c>
      <c r="H147" s="365" t="n">
        <v>45870</v>
      </c>
      <c r="J147" s="105" t="s">
        <v>44</v>
      </c>
      <c r="K147" s="106"/>
      <c r="L147" s="107" t="n">
        <f aca="false">P146</f>
        <v>10728.43</v>
      </c>
      <c r="M147" s="107" t="n">
        <f aca="false">M154</f>
        <v>26833.46</v>
      </c>
      <c r="N147" s="107" t="n">
        <f aca="false">M157</f>
        <v>26769.95</v>
      </c>
      <c r="O147" s="119" t="n">
        <f aca="false">M147-N147</f>
        <v>63.5099999999984</v>
      </c>
      <c r="P147" s="107" t="n">
        <f aca="false">L147+O147</f>
        <v>10791.94</v>
      </c>
    </row>
    <row r="148" customFormat="false" ht="15" hidden="true" customHeight="true" outlineLevel="0" collapsed="false">
      <c r="B148" s="356" t="n">
        <v>45876</v>
      </c>
      <c r="C148" s="332" t="s">
        <v>571</v>
      </c>
      <c r="D148" s="357" t="s">
        <v>513</v>
      </c>
      <c r="E148" s="357" t="s">
        <v>514</v>
      </c>
      <c r="F148" s="358" t="n">
        <v>316.89</v>
      </c>
      <c r="G148" s="359" t="s">
        <v>204</v>
      </c>
      <c r="H148" s="360" t="n">
        <v>45870</v>
      </c>
      <c r="J148" s="95" t="s">
        <v>45</v>
      </c>
      <c r="K148" s="96"/>
      <c r="L148" s="97"/>
      <c r="M148" s="97"/>
      <c r="N148" s="97"/>
      <c r="O148" s="112"/>
      <c r="P148" s="113"/>
    </row>
    <row r="149" customFormat="false" ht="15" hidden="true" customHeight="true" outlineLevel="0" collapsed="false">
      <c r="B149" s="351" t="n">
        <v>45877</v>
      </c>
      <c r="C149" s="333" t="s">
        <v>571</v>
      </c>
      <c r="D149" s="352" t="s">
        <v>534</v>
      </c>
      <c r="E149" s="352" t="s">
        <v>573</v>
      </c>
      <c r="F149" s="353" t="n">
        <v>3370.91</v>
      </c>
      <c r="G149" s="354" t="s">
        <v>204</v>
      </c>
      <c r="H149" s="355" t="n">
        <v>45839</v>
      </c>
      <c r="J149" s="105" t="s">
        <v>46</v>
      </c>
      <c r="K149" s="106"/>
      <c r="L149" s="107"/>
      <c r="M149" s="107"/>
      <c r="N149" s="107"/>
      <c r="O149" s="119"/>
      <c r="P149" s="107"/>
    </row>
    <row r="150" customFormat="false" ht="15" hidden="true" customHeight="true" outlineLevel="0" collapsed="false">
      <c r="B150" s="356" t="n">
        <v>45877</v>
      </c>
      <c r="C150" s="332" t="s">
        <v>571</v>
      </c>
      <c r="D150" s="357" t="s">
        <v>313</v>
      </c>
      <c r="E150" s="357" t="s">
        <v>201</v>
      </c>
      <c r="F150" s="358" t="n">
        <v>750</v>
      </c>
      <c r="G150" s="359" t="s">
        <v>204</v>
      </c>
      <c r="H150" s="360" t="n">
        <v>45870</v>
      </c>
      <c r="J150" s="95" t="s">
        <v>47</v>
      </c>
      <c r="K150" s="96"/>
      <c r="L150" s="99"/>
      <c r="M150" s="99"/>
      <c r="N150" s="99"/>
      <c r="O150" s="125"/>
      <c r="P150" s="83"/>
    </row>
    <row r="151" customFormat="false" ht="15" hidden="true" customHeight="true" outlineLevel="0" collapsed="false">
      <c r="B151" s="361" t="n">
        <v>45880</v>
      </c>
      <c r="C151" s="330" t="s">
        <v>571</v>
      </c>
      <c r="D151" s="362" t="s">
        <v>544</v>
      </c>
      <c r="E151" s="362" t="s">
        <v>574</v>
      </c>
      <c r="F151" s="363" t="n">
        <v>249.8</v>
      </c>
      <c r="G151" s="364" t="s">
        <v>196</v>
      </c>
      <c r="H151" s="365" t="n">
        <v>45870</v>
      </c>
      <c r="J151" s="105" t="s">
        <v>48</v>
      </c>
      <c r="K151" s="106"/>
      <c r="L151" s="109"/>
      <c r="M151" s="109"/>
      <c r="N151" s="109"/>
      <c r="O151" s="108"/>
      <c r="P151" s="109"/>
    </row>
    <row r="152" customFormat="false" ht="15" hidden="true" customHeight="true" outlineLevel="0" collapsed="false">
      <c r="B152" s="346" t="n">
        <v>45881</v>
      </c>
      <c r="C152" s="329" t="s">
        <v>571</v>
      </c>
      <c r="D152" s="347" t="s">
        <v>313</v>
      </c>
      <c r="E152" s="347" t="s">
        <v>182</v>
      </c>
      <c r="F152" s="348" t="n">
        <v>1500</v>
      </c>
      <c r="G152" s="349" t="s">
        <v>204</v>
      </c>
      <c r="H152" s="350" t="n">
        <v>45870</v>
      </c>
    </row>
    <row r="153" customFormat="false" ht="15" hidden="true" customHeight="true" outlineLevel="0" collapsed="false">
      <c r="B153" s="361" t="n">
        <v>45881</v>
      </c>
      <c r="C153" s="330" t="s">
        <v>571</v>
      </c>
      <c r="D153" s="362" t="s">
        <v>519</v>
      </c>
      <c r="E153" s="362" t="s">
        <v>575</v>
      </c>
      <c r="F153" s="363" t="n">
        <v>2500</v>
      </c>
      <c r="G153" s="364" t="s">
        <v>196</v>
      </c>
      <c r="H153" s="365" t="n">
        <v>45839</v>
      </c>
      <c r="J153" s="367" t="s">
        <v>270</v>
      </c>
      <c r="K153" s="128"/>
      <c r="L153" s="128"/>
      <c r="M153" s="128"/>
    </row>
    <row r="154" customFormat="false" ht="15" hidden="true" customHeight="true" outlineLevel="0" collapsed="false">
      <c r="B154" s="369" t="s">
        <v>576</v>
      </c>
      <c r="C154" s="332" t="s">
        <v>571</v>
      </c>
      <c r="D154" s="357" t="s">
        <v>511</v>
      </c>
      <c r="E154" s="357" t="s">
        <v>551</v>
      </c>
      <c r="F154" s="358" t="n">
        <v>2500</v>
      </c>
      <c r="G154" s="359" t="s">
        <v>196</v>
      </c>
      <c r="H154" s="360" t="n">
        <v>45870</v>
      </c>
      <c r="J154" s="87" t="s">
        <v>271</v>
      </c>
      <c r="K154" s="126"/>
      <c r="L154" s="126"/>
      <c r="M154" s="127" t="n">
        <f aca="false">SUM(M155:M156)</f>
        <v>26833.46</v>
      </c>
    </row>
    <row r="155" customFormat="false" ht="15" hidden="true" customHeight="true" outlineLevel="0" collapsed="false">
      <c r="B155" s="361" t="n">
        <v>45882</v>
      </c>
      <c r="C155" s="330" t="s">
        <v>571</v>
      </c>
      <c r="D155" s="362" t="s">
        <v>516</v>
      </c>
      <c r="E155" s="362" t="s">
        <v>518</v>
      </c>
      <c r="F155" s="363" t="n">
        <v>220</v>
      </c>
      <c r="G155" s="364" t="s">
        <v>196</v>
      </c>
      <c r="H155" s="365" t="n">
        <v>45870</v>
      </c>
      <c r="J155" s="96" t="s">
        <v>272</v>
      </c>
      <c r="K155" s="96"/>
      <c r="L155" s="96"/>
      <c r="M155" s="99" t="n">
        <f aca="false">SUM(F144,F145,F150,F152,F159,F161,F163,F167,F168,F169,F170,F172,F173,F180)</f>
        <v>23262.55</v>
      </c>
    </row>
    <row r="156" customFormat="false" ht="15" hidden="true" customHeight="true" outlineLevel="0" collapsed="false">
      <c r="B156" s="356" t="n">
        <v>45882</v>
      </c>
      <c r="C156" s="332" t="s">
        <v>577</v>
      </c>
      <c r="D156" s="357" t="s">
        <v>516</v>
      </c>
      <c r="E156" s="357" t="s">
        <v>278</v>
      </c>
      <c r="F156" s="358" t="n">
        <v>86.94</v>
      </c>
      <c r="G156" s="359" t="s">
        <v>204</v>
      </c>
      <c r="H156" s="360" t="n">
        <v>45839</v>
      </c>
      <c r="J156" s="96" t="s">
        <v>273</v>
      </c>
      <c r="K156" s="96"/>
      <c r="L156" s="96"/>
      <c r="M156" s="83" t="n">
        <f aca="false">SUM(F149,F179)</f>
        <v>3570.91</v>
      </c>
    </row>
    <row r="157" customFormat="false" ht="15" hidden="true" customHeight="true" outlineLevel="0" collapsed="false">
      <c r="B157" s="361" t="n">
        <v>45884</v>
      </c>
      <c r="C157" s="330" t="s">
        <v>571</v>
      </c>
      <c r="D157" s="362" t="s">
        <v>552</v>
      </c>
      <c r="E157" s="362" t="s">
        <v>278</v>
      </c>
      <c r="F157" s="363" t="n">
        <v>119.65</v>
      </c>
      <c r="G157" s="364" t="s">
        <v>204</v>
      </c>
      <c r="H157" s="365" t="n">
        <v>45839</v>
      </c>
      <c r="J157" s="87" t="s">
        <v>274</v>
      </c>
      <c r="K157" s="126"/>
      <c r="L157" s="126"/>
      <c r="M157" s="127" t="n">
        <f aca="false">SUM(M158:M162)</f>
        <v>26769.95</v>
      </c>
    </row>
    <row r="158" customFormat="false" ht="15" hidden="true" customHeight="true" outlineLevel="0" collapsed="false">
      <c r="B158" s="356" t="n">
        <v>45884</v>
      </c>
      <c r="C158" s="332" t="s">
        <v>571</v>
      </c>
      <c r="D158" s="357" t="s">
        <v>519</v>
      </c>
      <c r="E158" s="357" t="s">
        <v>578</v>
      </c>
      <c r="F158" s="358" t="n">
        <v>2500</v>
      </c>
      <c r="G158" s="359" t="s">
        <v>196</v>
      </c>
      <c r="H158" s="360" t="n">
        <v>45870</v>
      </c>
      <c r="J158" s="96" t="s">
        <v>523</v>
      </c>
      <c r="K158" s="96"/>
      <c r="L158" s="96"/>
      <c r="M158" s="99" t="n">
        <f aca="false">SUM(F151,F154,F162,F164,F165,F171,F174,F181)</f>
        <v>14941.35</v>
      </c>
    </row>
    <row r="159" customFormat="false" ht="15" hidden="true" customHeight="true" outlineLevel="0" collapsed="false">
      <c r="B159" s="351" t="n">
        <v>45886</v>
      </c>
      <c r="C159" s="333" t="s">
        <v>571</v>
      </c>
      <c r="D159" s="352" t="s">
        <v>313</v>
      </c>
      <c r="E159" s="352" t="s">
        <v>183</v>
      </c>
      <c r="F159" s="353" t="n">
        <v>600</v>
      </c>
      <c r="G159" s="354" t="s">
        <v>196</v>
      </c>
      <c r="H159" s="355" t="n">
        <v>45870</v>
      </c>
      <c r="J159" s="96" t="s">
        <v>388</v>
      </c>
      <c r="K159" s="96"/>
      <c r="L159" s="96"/>
      <c r="M159" s="99" t="n">
        <f aca="false">SUM(F142,F148)</f>
        <v>2494.39</v>
      </c>
    </row>
    <row r="160" customFormat="false" ht="15" hidden="true" customHeight="true" outlineLevel="0" collapsed="false">
      <c r="B160" s="356" t="n">
        <v>45887</v>
      </c>
      <c r="C160" s="332" t="s">
        <v>577</v>
      </c>
      <c r="D160" s="357" t="s">
        <v>304</v>
      </c>
      <c r="E160" s="357" t="s">
        <v>515</v>
      </c>
      <c r="F160" s="358" t="n">
        <v>624.01</v>
      </c>
      <c r="G160" s="359" t="s">
        <v>204</v>
      </c>
      <c r="H160" s="360" t="n">
        <v>45839</v>
      </c>
      <c r="J160" s="96" t="s">
        <v>526</v>
      </c>
      <c r="K160" s="96"/>
      <c r="L160" s="96"/>
      <c r="M160" s="99" t="n">
        <f aca="false">SUM(F140,F143,F146,F147,F155,F156,F157,F176,F177,F178)</f>
        <v>3176.2</v>
      </c>
    </row>
    <row r="161" customFormat="false" ht="15" hidden="true" customHeight="true" outlineLevel="0" collapsed="false">
      <c r="B161" s="351" t="n">
        <v>45888</v>
      </c>
      <c r="C161" s="333" t="s">
        <v>571</v>
      </c>
      <c r="D161" s="352" t="s">
        <v>313</v>
      </c>
      <c r="E161" s="352" t="s">
        <v>550</v>
      </c>
      <c r="F161" s="353" t="n">
        <v>1500</v>
      </c>
      <c r="G161" s="354" t="s">
        <v>196</v>
      </c>
      <c r="H161" s="355" t="n">
        <v>45809</v>
      </c>
      <c r="J161" s="96" t="s">
        <v>280</v>
      </c>
      <c r="K161" s="96"/>
      <c r="L161" s="96"/>
      <c r="M161" s="99" t="n">
        <f aca="false">SUM(F160)</f>
        <v>624.01</v>
      </c>
    </row>
    <row r="162" customFormat="false" ht="15" hidden="true" customHeight="true" outlineLevel="0" collapsed="false">
      <c r="B162" s="356" t="n">
        <v>45888</v>
      </c>
      <c r="C162" s="332" t="s">
        <v>571</v>
      </c>
      <c r="D162" s="357" t="s">
        <v>544</v>
      </c>
      <c r="E162" s="357" t="s">
        <v>559</v>
      </c>
      <c r="F162" s="358" t="n">
        <v>1834</v>
      </c>
      <c r="G162" s="359" t="s">
        <v>196</v>
      </c>
      <c r="H162" s="360" t="n">
        <v>45870</v>
      </c>
      <c r="J162" s="96" t="s">
        <v>529</v>
      </c>
      <c r="K162" s="96"/>
      <c r="L162" s="96"/>
      <c r="M162" s="99" t="n">
        <f aca="false">SUM(F141,F153,F158,F175)</f>
        <v>5534</v>
      </c>
    </row>
    <row r="163" customFormat="false" ht="15" hidden="true" customHeight="true" outlineLevel="0" collapsed="false">
      <c r="B163" s="351" t="n">
        <v>45889</v>
      </c>
      <c r="C163" s="333" t="s">
        <v>571</v>
      </c>
      <c r="D163" s="352" t="s">
        <v>313</v>
      </c>
      <c r="E163" s="352" t="s">
        <v>579</v>
      </c>
      <c r="F163" s="353" t="n">
        <v>2000</v>
      </c>
      <c r="G163" s="354" t="s">
        <v>196</v>
      </c>
      <c r="H163" s="355" t="n">
        <v>45870</v>
      </c>
    </row>
    <row r="164" customFormat="false" ht="15" hidden="true" customHeight="true" outlineLevel="0" collapsed="false">
      <c r="B164" s="356" t="n">
        <v>45889</v>
      </c>
      <c r="C164" s="332" t="s">
        <v>571</v>
      </c>
      <c r="D164" s="357" t="s">
        <v>511</v>
      </c>
      <c r="E164" s="357" t="s">
        <v>521</v>
      </c>
      <c r="F164" s="358" t="n">
        <v>3446</v>
      </c>
      <c r="G164" s="359" t="s">
        <v>196</v>
      </c>
      <c r="H164" s="360" t="n">
        <v>45870</v>
      </c>
    </row>
    <row r="165" customFormat="false" ht="15" hidden="true" customHeight="true" outlineLevel="0" collapsed="false">
      <c r="B165" s="361" t="n">
        <v>45889</v>
      </c>
      <c r="C165" s="330" t="s">
        <v>571</v>
      </c>
      <c r="D165" s="362" t="s">
        <v>544</v>
      </c>
      <c r="E165" s="362" t="s">
        <v>522</v>
      </c>
      <c r="F165" s="363" t="n">
        <v>2500</v>
      </c>
      <c r="G165" s="364" t="s">
        <v>196</v>
      </c>
      <c r="H165" s="365" t="n">
        <v>45870</v>
      </c>
    </row>
    <row r="166" customFormat="false" ht="15" hidden="true" customHeight="true" outlineLevel="0" collapsed="false">
      <c r="B166" s="356" t="n">
        <v>45891</v>
      </c>
      <c r="C166" s="332" t="s">
        <v>571</v>
      </c>
      <c r="D166" s="357" t="s">
        <v>544</v>
      </c>
      <c r="E166" s="357" t="s">
        <v>567</v>
      </c>
      <c r="F166" s="358" t="n">
        <v>1834</v>
      </c>
      <c r="G166" s="359" t="s">
        <v>580</v>
      </c>
      <c r="H166" s="360" t="n">
        <v>45870</v>
      </c>
    </row>
    <row r="167" customFormat="false" ht="15" hidden="true" customHeight="true" outlineLevel="0" collapsed="false">
      <c r="B167" s="351" t="n">
        <v>45893</v>
      </c>
      <c r="C167" s="333" t="s">
        <v>571</v>
      </c>
      <c r="D167" s="352" t="s">
        <v>313</v>
      </c>
      <c r="E167" s="352" t="s">
        <v>541</v>
      </c>
      <c r="F167" s="353" t="n">
        <v>650</v>
      </c>
      <c r="G167" s="354" t="s">
        <v>196</v>
      </c>
      <c r="H167" s="355" t="n">
        <v>45870</v>
      </c>
    </row>
    <row r="168" customFormat="false" ht="15" hidden="true" customHeight="true" outlineLevel="0" collapsed="false">
      <c r="B168" s="346" t="n">
        <v>45894</v>
      </c>
      <c r="C168" s="329" t="s">
        <v>571</v>
      </c>
      <c r="D168" s="347" t="s">
        <v>313</v>
      </c>
      <c r="E168" s="347" t="s">
        <v>533</v>
      </c>
      <c r="F168" s="348" t="n">
        <v>2250</v>
      </c>
      <c r="G168" s="349" t="s">
        <v>204</v>
      </c>
      <c r="H168" s="350" t="n">
        <v>45870</v>
      </c>
    </row>
    <row r="169" customFormat="false" ht="15" hidden="true" customHeight="true" outlineLevel="0" collapsed="false">
      <c r="B169" s="351" t="n">
        <v>45894</v>
      </c>
      <c r="C169" s="333" t="s">
        <v>571</v>
      </c>
      <c r="D169" s="352" t="s">
        <v>313</v>
      </c>
      <c r="E169" s="352" t="s">
        <v>64</v>
      </c>
      <c r="F169" s="353" t="n">
        <v>1900</v>
      </c>
      <c r="G169" s="354" t="s">
        <v>204</v>
      </c>
      <c r="H169" s="355" t="n">
        <v>45870</v>
      </c>
    </row>
    <row r="170" customFormat="false" ht="15" hidden="true" customHeight="true" outlineLevel="0" collapsed="false">
      <c r="B170" s="346" t="n">
        <v>45894</v>
      </c>
      <c r="C170" s="329" t="s">
        <v>571</v>
      </c>
      <c r="D170" s="347" t="s">
        <v>313</v>
      </c>
      <c r="E170" s="347" t="s">
        <v>527</v>
      </c>
      <c r="F170" s="348" t="n">
        <v>600</v>
      </c>
      <c r="G170" s="349" t="s">
        <v>196</v>
      </c>
      <c r="H170" s="350" t="n">
        <v>45870</v>
      </c>
    </row>
    <row r="171" customFormat="false" ht="15" hidden="true" customHeight="true" outlineLevel="0" collapsed="false">
      <c r="B171" s="361" t="n">
        <v>45894</v>
      </c>
      <c r="C171" s="330" t="s">
        <v>571</v>
      </c>
      <c r="D171" s="362" t="s">
        <v>544</v>
      </c>
      <c r="E171" s="362" t="s">
        <v>532</v>
      </c>
      <c r="F171" s="363" t="n">
        <v>2280.9</v>
      </c>
      <c r="G171" s="364" t="s">
        <v>196</v>
      </c>
      <c r="H171" s="365" t="n">
        <v>45870</v>
      </c>
    </row>
    <row r="172" customFormat="false" ht="15" hidden="true" customHeight="true" outlineLevel="0" collapsed="false">
      <c r="B172" s="346" t="n">
        <v>45894</v>
      </c>
      <c r="C172" s="329" t="s">
        <v>571</v>
      </c>
      <c r="D172" s="347" t="s">
        <v>313</v>
      </c>
      <c r="E172" s="347" t="s">
        <v>65</v>
      </c>
      <c r="F172" s="348" t="n">
        <v>6137.68</v>
      </c>
      <c r="G172" s="349" t="s">
        <v>196</v>
      </c>
      <c r="H172" s="350" t="n">
        <v>45870</v>
      </c>
    </row>
    <row r="173" customFormat="false" ht="15" hidden="true" customHeight="true" outlineLevel="0" collapsed="false">
      <c r="B173" s="351" t="n">
        <v>45894</v>
      </c>
      <c r="C173" s="333" t="s">
        <v>571</v>
      </c>
      <c r="D173" s="352" t="s">
        <v>313</v>
      </c>
      <c r="E173" s="352" t="s">
        <v>191</v>
      </c>
      <c r="F173" s="353" t="n">
        <v>1350</v>
      </c>
      <c r="G173" s="354" t="s">
        <v>204</v>
      </c>
      <c r="H173" s="355" t="n">
        <v>45870</v>
      </c>
    </row>
    <row r="174" customFormat="false" ht="15" hidden="true" customHeight="true" outlineLevel="0" collapsed="false">
      <c r="B174" s="356" t="n">
        <v>45894</v>
      </c>
      <c r="C174" s="332" t="s">
        <v>571</v>
      </c>
      <c r="D174" s="357" t="s">
        <v>544</v>
      </c>
      <c r="E174" s="357" t="s">
        <v>537</v>
      </c>
      <c r="F174" s="358" t="n">
        <v>516.25</v>
      </c>
      <c r="G174" s="359" t="s">
        <v>196</v>
      </c>
      <c r="H174" s="360" t="n">
        <v>45870</v>
      </c>
    </row>
    <row r="175" customFormat="false" ht="15" hidden="true" customHeight="true" outlineLevel="0" collapsed="false">
      <c r="B175" s="361" t="n">
        <v>45895</v>
      </c>
      <c r="C175" s="330" t="s">
        <v>571</v>
      </c>
      <c r="D175" s="362" t="s">
        <v>519</v>
      </c>
      <c r="E175" s="362" t="s">
        <v>581</v>
      </c>
      <c r="F175" s="363" t="n">
        <v>34</v>
      </c>
      <c r="G175" s="364" t="s">
        <v>196</v>
      </c>
      <c r="H175" s="365" t="n">
        <v>45870</v>
      </c>
    </row>
    <row r="176" customFormat="false" ht="15" hidden="true" customHeight="true" outlineLevel="0" collapsed="false">
      <c r="B176" s="356" t="n">
        <v>45896</v>
      </c>
      <c r="C176" s="332" t="s">
        <v>571</v>
      </c>
      <c r="D176" s="357" t="s">
        <v>516</v>
      </c>
      <c r="E176" s="357" t="s">
        <v>582</v>
      </c>
      <c r="F176" s="358" t="n">
        <v>170</v>
      </c>
      <c r="G176" s="359" t="s">
        <v>196</v>
      </c>
      <c r="H176" s="360" t="n">
        <v>45901</v>
      </c>
    </row>
    <row r="177" customFormat="false" ht="15" hidden="true" customHeight="true" outlineLevel="0" collapsed="false">
      <c r="B177" s="361" t="n">
        <v>45896</v>
      </c>
      <c r="C177" s="330" t="s">
        <v>571</v>
      </c>
      <c r="D177" s="362" t="s">
        <v>516</v>
      </c>
      <c r="E177" s="362" t="s">
        <v>276</v>
      </c>
      <c r="F177" s="363" t="n">
        <v>30</v>
      </c>
      <c r="G177" s="364" t="s">
        <v>196</v>
      </c>
      <c r="H177" s="365" t="n">
        <v>45870</v>
      </c>
    </row>
    <row r="178" customFormat="false" ht="15" hidden="true" customHeight="true" outlineLevel="0" collapsed="false">
      <c r="B178" s="356" t="n">
        <v>45897</v>
      </c>
      <c r="C178" s="332" t="s">
        <v>571</v>
      </c>
      <c r="D178" s="357" t="s">
        <v>516</v>
      </c>
      <c r="E178" s="357" t="s">
        <v>518</v>
      </c>
      <c r="F178" s="358" t="n">
        <v>230</v>
      </c>
      <c r="G178" s="359" t="s">
        <v>196</v>
      </c>
      <c r="H178" s="360" t="n">
        <v>45870</v>
      </c>
    </row>
    <row r="179" customFormat="false" ht="15" hidden="true" customHeight="true" outlineLevel="0" collapsed="false">
      <c r="B179" s="351" t="n">
        <v>45897</v>
      </c>
      <c r="C179" s="333" t="s">
        <v>571</v>
      </c>
      <c r="D179" s="352" t="s">
        <v>534</v>
      </c>
      <c r="E179" s="352" t="s">
        <v>583</v>
      </c>
      <c r="F179" s="353" t="n">
        <v>200</v>
      </c>
      <c r="G179" s="354" t="s">
        <v>196</v>
      </c>
      <c r="H179" s="355" t="n">
        <v>45870</v>
      </c>
    </row>
    <row r="180" customFormat="false" ht="15" hidden="true" customHeight="true" outlineLevel="0" collapsed="false">
      <c r="B180" s="346" t="n">
        <v>45898</v>
      </c>
      <c r="C180" s="329" t="s">
        <v>571</v>
      </c>
      <c r="D180" s="347" t="s">
        <v>313</v>
      </c>
      <c r="E180" s="347" t="s">
        <v>510</v>
      </c>
      <c r="F180" s="348" t="n">
        <v>1974.87</v>
      </c>
      <c r="G180" s="349" t="s">
        <v>196</v>
      </c>
      <c r="H180" s="350" t="n">
        <v>45870</v>
      </c>
    </row>
    <row r="181" customFormat="false" ht="15" hidden="true" customHeight="true" outlineLevel="0" collapsed="false">
      <c r="B181" s="361" t="n">
        <v>45898</v>
      </c>
      <c r="C181" s="330" t="s">
        <v>571</v>
      </c>
      <c r="D181" s="362" t="s">
        <v>544</v>
      </c>
      <c r="E181" s="362" t="s">
        <v>557</v>
      </c>
      <c r="F181" s="363" t="n">
        <v>1614.4</v>
      </c>
      <c r="G181" s="364" t="s">
        <v>196</v>
      </c>
      <c r="H181" s="365" t="n">
        <v>45870</v>
      </c>
    </row>
    <row r="182" customFormat="false" ht="15" hidden="true" customHeight="true" outlineLevel="0" collapsed="false">
      <c r="B182" s="346" t="n">
        <v>45901</v>
      </c>
      <c r="C182" s="329" t="s">
        <v>584</v>
      </c>
      <c r="D182" s="347" t="s">
        <v>313</v>
      </c>
      <c r="E182" s="347" t="s">
        <v>542</v>
      </c>
      <c r="F182" s="348" t="n">
        <v>1250</v>
      </c>
      <c r="G182" s="349" t="s">
        <v>204</v>
      </c>
      <c r="H182" s="350" t="n">
        <v>45870</v>
      </c>
      <c r="J182" s="95" t="s">
        <v>269</v>
      </c>
      <c r="K182" s="96"/>
      <c r="L182" s="97" t="n">
        <v>7284</v>
      </c>
      <c r="M182" s="97" t="n">
        <v>16964.99</v>
      </c>
      <c r="N182" s="97" t="n">
        <v>16001.81</v>
      </c>
      <c r="O182" s="98" t="n">
        <f aca="false">M182-N182</f>
        <v>963.180000000002</v>
      </c>
      <c r="P182" s="99" t="n">
        <f aca="false">L182+O182</f>
        <v>8247.18</v>
      </c>
    </row>
    <row r="183" customFormat="false" ht="15" hidden="true" customHeight="true" outlineLevel="0" collapsed="false">
      <c r="B183" s="351" t="n">
        <v>45901</v>
      </c>
      <c r="C183" s="333" t="s">
        <v>584</v>
      </c>
      <c r="D183" s="352" t="s">
        <v>313</v>
      </c>
      <c r="E183" s="352" t="s">
        <v>560</v>
      </c>
      <c r="F183" s="353" t="n">
        <v>2000</v>
      </c>
      <c r="G183" s="354" t="s">
        <v>204</v>
      </c>
      <c r="H183" s="355" t="n">
        <v>45870</v>
      </c>
      <c r="J183" s="105" t="s">
        <v>28</v>
      </c>
      <c r="K183" s="106"/>
      <c r="L183" s="107" t="n">
        <v>8247.18</v>
      </c>
      <c r="M183" s="107" t="n">
        <v>22253.63</v>
      </c>
      <c r="N183" s="107" t="n">
        <v>17207.49</v>
      </c>
      <c r="O183" s="108" t="n">
        <f aca="false">M183-N183</f>
        <v>5046.14</v>
      </c>
      <c r="P183" s="109" t="n">
        <f aca="false">L183+O183</f>
        <v>13293.32</v>
      </c>
    </row>
    <row r="184" customFormat="false" ht="15" hidden="true" customHeight="true" outlineLevel="0" collapsed="false">
      <c r="B184" s="346" t="n">
        <v>45901</v>
      </c>
      <c r="C184" s="329" t="s">
        <v>584</v>
      </c>
      <c r="D184" s="347" t="s">
        <v>313</v>
      </c>
      <c r="E184" s="347" t="s">
        <v>205</v>
      </c>
      <c r="F184" s="348" t="n">
        <v>600</v>
      </c>
      <c r="G184" s="349" t="s">
        <v>196</v>
      </c>
      <c r="H184" s="350" t="n">
        <v>45870</v>
      </c>
      <c r="J184" s="95" t="s">
        <v>31</v>
      </c>
      <c r="K184" s="96"/>
      <c r="L184" s="97" t="n">
        <v>13293.32</v>
      </c>
      <c r="M184" s="97" t="n">
        <v>16900</v>
      </c>
      <c r="N184" s="97" t="n">
        <v>20527.31</v>
      </c>
      <c r="O184" s="110" t="n">
        <f aca="false">M184-N184</f>
        <v>-3627.31</v>
      </c>
      <c r="P184" s="99" t="n">
        <f aca="false">L184+O184</f>
        <v>9666.01</v>
      </c>
    </row>
    <row r="185" customFormat="false" ht="15" hidden="true" customHeight="true" outlineLevel="0" collapsed="false">
      <c r="B185" s="361" t="n">
        <v>45903</v>
      </c>
      <c r="C185" s="330" t="s">
        <v>584</v>
      </c>
      <c r="D185" s="362" t="s">
        <v>585</v>
      </c>
      <c r="E185" s="362" t="s">
        <v>586</v>
      </c>
      <c r="F185" s="363" t="n">
        <v>305.5</v>
      </c>
      <c r="G185" s="364" t="s">
        <v>196</v>
      </c>
      <c r="H185" s="365" t="n">
        <v>45901</v>
      </c>
      <c r="J185" s="105" t="s">
        <v>34</v>
      </c>
      <c r="K185" s="106"/>
      <c r="L185" s="107" t="n">
        <v>9666.01</v>
      </c>
      <c r="M185" s="107" t="n">
        <v>19175.97</v>
      </c>
      <c r="N185" s="107" t="n">
        <v>19900</v>
      </c>
      <c r="O185" s="111" t="n">
        <f aca="false">M185-N185</f>
        <v>-724.029999999999</v>
      </c>
      <c r="P185" s="109" t="n">
        <f aca="false">L185+O185</f>
        <v>8941.98</v>
      </c>
    </row>
    <row r="186" customFormat="false" ht="15" hidden="true" customHeight="true" outlineLevel="0" collapsed="false">
      <c r="B186" s="356" t="n">
        <v>45903</v>
      </c>
      <c r="C186" s="332" t="s">
        <v>584</v>
      </c>
      <c r="D186" s="357" t="s">
        <v>513</v>
      </c>
      <c r="E186" s="357" t="s">
        <v>539</v>
      </c>
      <c r="F186" s="358" t="n">
        <v>2266.01</v>
      </c>
      <c r="G186" s="359" t="s">
        <v>587</v>
      </c>
      <c r="H186" s="360" t="n">
        <v>45870</v>
      </c>
      <c r="J186" s="95" t="s">
        <v>38</v>
      </c>
      <c r="K186" s="96"/>
      <c r="L186" s="97" t="n">
        <f aca="false">L10</f>
        <v>8941.98</v>
      </c>
      <c r="M186" s="97" t="n">
        <f aca="false">M10</f>
        <v>21491.14</v>
      </c>
      <c r="N186" s="97" t="n">
        <f aca="false">N10</f>
        <v>17732.12</v>
      </c>
      <c r="O186" s="112" t="n">
        <f aca="false">M186-N186</f>
        <v>3759.02</v>
      </c>
      <c r="P186" s="113" t="n">
        <f aca="false">L186+O186</f>
        <v>12701</v>
      </c>
    </row>
    <row r="187" customFormat="false" ht="15" hidden="true" customHeight="true" outlineLevel="0" collapsed="false">
      <c r="B187" s="361" t="n">
        <v>45903</v>
      </c>
      <c r="C187" s="330" t="s">
        <v>584</v>
      </c>
      <c r="D187" s="362" t="s">
        <v>585</v>
      </c>
      <c r="E187" s="362" t="s">
        <v>457</v>
      </c>
      <c r="F187" s="363" t="n">
        <v>1866.36</v>
      </c>
      <c r="G187" s="364" t="s">
        <v>587</v>
      </c>
      <c r="H187" s="365" t="n">
        <v>45870</v>
      </c>
      <c r="J187" s="105" t="s">
        <v>41</v>
      </c>
      <c r="K187" s="106"/>
      <c r="L187" s="107" t="n">
        <f aca="false">L145</f>
        <v>12701</v>
      </c>
      <c r="M187" s="107" t="n">
        <f aca="false">M145</f>
        <v>16824.3</v>
      </c>
      <c r="N187" s="107" t="n">
        <f aca="false">N145</f>
        <v>22872.97</v>
      </c>
      <c r="O187" s="331" t="n">
        <f aca="false">M187-N187</f>
        <v>-6048.67</v>
      </c>
      <c r="P187" s="107" t="n">
        <f aca="false">L187+O187</f>
        <v>6652.33</v>
      </c>
    </row>
    <row r="188" customFormat="false" ht="15" hidden="true" customHeight="true" outlineLevel="0" collapsed="false">
      <c r="B188" s="356" t="n">
        <v>45903</v>
      </c>
      <c r="C188" s="332" t="s">
        <v>584</v>
      </c>
      <c r="D188" s="357" t="s">
        <v>519</v>
      </c>
      <c r="E188" s="357" t="s">
        <v>588</v>
      </c>
      <c r="F188" s="358" t="n">
        <v>100</v>
      </c>
      <c r="G188" s="359" t="s">
        <v>587</v>
      </c>
      <c r="H188" s="360" t="n">
        <v>45870</v>
      </c>
      <c r="J188" s="95" t="s">
        <v>43</v>
      </c>
      <c r="K188" s="96"/>
      <c r="L188" s="97" t="n">
        <f aca="false">P187</f>
        <v>6652.33</v>
      </c>
      <c r="M188" s="97" t="n">
        <f aca="false">M146</f>
        <v>23620.44</v>
      </c>
      <c r="N188" s="97" t="n">
        <f aca="false">N146</f>
        <v>19544.34</v>
      </c>
      <c r="O188" s="112" t="n">
        <f aca="false">M188-N188</f>
        <v>4076.1</v>
      </c>
      <c r="P188" s="113" t="n">
        <f aca="false">L188+O188</f>
        <v>10728.43</v>
      </c>
    </row>
    <row r="189" customFormat="false" ht="15" hidden="true" customHeight="true" outlineLevel="0" collapsed="false">
      <c r="B189" s="351" t="n">
        <v>45905</v>
      </c>
      <c r="C189" s="333" t="s">
        <v>584</v>
      </c>
      <c r="D189" s="352" t="s">
        <v>313</v>
      </c>
      <c r="E189" s="352" t="s">
        <v>81</v>
      </c>
      <c r="F189" s="353" t="n">
        <v>1500</v>
      </c>
      <c r="G189" s="354" t="s">
        <v>204</v>
      </c>
      <c r="H189" s="355" t="n">
        <v>45901</v>
      </c>
      <c r="J189" s="105" t="s">
        <v>44</v>
      </c>
      <c r="K189" s="106"/>
      <c r="L189" s="107" t="n">
        <f aca="false">P188</f>
        <v>10728.43</v>
      </c>
      <c r="M189" s="107" t="n">
        <f aca="false">M147</f>
        <v>26833.46</v>
      </c>
      <c r="N189" s="107" t="n">
        <f aca="false">N147</f>
        <v>26769.95</v>
      </c>
      <c r="O189" s="119" t="n">
        <f aca="false">M189-N189</f>
        <v>63.5099999999984</v>
      </c>
      <c r="P189" s="107" t="n">
        <f aca="false">L189+O189</f>
        <v>10791.94</v>
      </c>
    </row>
    <row r="190" customFormat="false" ht="15" hidden="true" customHeight="true" outlineLevel="0" collapsed="false">
      <c r="B190" s="356" t="n">
        <v>45905</v>
      </c>
      <c r="C190" s="332" t="s">
        <v>584</v>
      </c>
      <c r="D190" s="357" t="s">
        <v>516</v>
      </c>
      <c r="E190" s="357" t="s">
        <v>275</v>
      </c>
      <c r="F190" s="358" t="n">
        <v>1925.41</v>
      </c>
      <c r="G190" s="359" t="s">
        <v>196</v>
      </c>
      <c r="H190" s="360" t="n">
        <v>45870</v>
      </c>
      <c r="J190" s="95" t="s">
        <v>45</v>
      </c>
      <c r="K190" s="96"/>
      <c r="L190" s="97" t="n">
        <f aca="false">P189</f>
        <v>10791.94</v>
      </c>
      <c r="M190" s="97" t="n">
        <f aca="false">M196</f>
        <v>35481.27</v>
      </c>
      <c r="N190" s="97" t="n">
        <f aca="false">M200</f>
        <v>28392.23</v>
      </c>
      <c r="O190" s="112" t="n">
        <f aca="false">M190-N190</f>
        <v>7089.04</v>
      </c>
      <c r="P190" s="113" t="n">
        <f aca="false">L190+O190</f>
        <v>17880.98</v>
      </c>
    </row>
    <row r="191" customFormat="false" ht="15" hidden="true" customHeight="true" outlineLevel="0" collapsed="false">
      <c r="B191" s="361" t="n">
        <v>45905</v>
      </c>
      <c r="C191" s="330" t="s">
        <v>584</v>
      </c>
      <c r="D191" s="362" t="s">
        <v>513</v>
      </c>
      <c r="E191" s="362" t="s">
        <v>514</v>
      </c>
      <c r="F191" s="363" t="n">
        <v>318.33</v>
      </c>
      <c r="G191" s="364" t="s">
        <v>196</v>
      </c>
      <c r="H191" s="365" t="n">
        <v>45870</v>
      </c>
      <c r="J191" s="105" t="s">
        <v>46</v>
      </c>
      <c r="K191" s="106"/>
      <c r="L191" s="107"/>
      <c r="M191" s="107"/>
      <c r="N191" s="107"/>
      <c r="O191" s="119"/>
      <c r="P191" s="107"/>
    </row>
    <row r="192" customFormat="false" ht="15" hidden="true" customHeight="true" outlineLevel="0" collapsed="false">
      <c r="B192" s="346" t="n">
        <v>45908</v>
      </c>
      <c r="C192" s="329" t="s">
        <v>584</v>
      </c>
      <c r="D192" s="347" t="s">
        <v>313</v>
      </c>
      <c r="E192" s="347" t="s">
        <v>564</v>
      </c>
      <c r="F192" s="348" t="n">
        <v>1900</v>
      </c>
      <c r="G192" s="349" t="s">
        <v>196</v>
      </c>
      <c r="H192" s="350" t="n">
        <v>45870</v>
      </c>
      <c r="J192" s="95" t="s">
        <v>47</v>
      </c>
      <c r="K192" s="96"/>
      <c r="L192" s="99"/>
      <c r="M192" s="99"/>
      <c r="N192" s="99"/>
      <c r="O192" s="125"/>
      <c r="P192" s="83"/>
    </row>
    <row r="193" customFormat="false" ht="15" hidden="true" customHeight="true" outlineLevel="0" collapsed="false">
      <c r="B193" s="361" t="n">
        <v>45908</v>
      </c>
      <c r="C193" s="330" t="s">
        <v>584</v>
      </c>
      <c r="D193" s="362" t="s">
        <v>589</v>
      </c>
      <c r="E193" s="362" t="s">
        <v>590</v>
      </c>
      <c r="F193" s="363" t="n">
        <v>190</v>
      </c>
      <c r="G193" s="364" t="s">
        <v>196</v>
      </c>
      <c r="H193" s="365" t="n">
        <v>45901</v>
      </c>
      <c r="J193" s="105" t="s">
        <v>48</v>
      </c>
      <c r="K193" s="106"/>
      <c r="L193" s="109"/>
      <c r="M193" s="109"/>
      <c r="N193" s="109"/>
      <c r="O193" s="108"/>
      <c r="P193" s="109"/>
    </row>
    <row r="194" customFormat="false" ht="15" hidden="true" customHeight="true" outlineLevel="0" collapsed="false">
      <c r="B194" s="356" t="n">
        <v>45908</v>
      </c>
      <c r="C194" s="332" t="s">
        <v>584</v>
      </c>
      <c r="D194" s="357" t="s">
        <v>513</v>
      </c>
      <c r="E194" s="357" t="s">
        <v>591</v>
      </c>
      <c r="F194" s="358" t="n">
        <v>1000</v>
      </c>
      <c r="G194" s="359" t="s">
        <v>196</v>
      </c>
      <c r="H194" s="360" t="n">
        <v>45870</v>
      </c>
    </row>
    <row r="195" customFormat="false" ht="15" hidden="true" customHeight="true" outlineLevel="0" collapsed="false">
      <c r="B195" s="361" t="n">
        <v>45910</v>
      </c>
      <c r="C195" s="330" t="s">
        <v>584</v>
      </c>
      <c r="D195" s="362" t="s">
        <v>589</v>
      </c>
      <c r="E195" s="362" t="s">
        <v>518</v>
      </c>
      <c r="F195" s="363" t="n">
        <v>235</v>
      </c>
      <c r="G195" s="364" t="s">
        <v>196</v>
      </c>
      <c r="H195" s="365" t="n">
        <v>45901</v>
      </c>
      <c r="J195" s="367" t="s">
        <v>270</v>
      </c>
      <c r="K195" s="128"/>
      <c r="L195" s="128"/>
      <c r="M195" s="128"/>
    </row>
    <row r="196" customFormat="false" ht="15" hidden="true" customHeight="true" outlineLevel="0" collapsed="false">
      <c r="B196" s="356" t="n">
        <v>45910</v>
      </c>
      <c r="C196" s="332" t="s">
        <v>584</v>
      </c>
      <c r="D196" s="357" t="s">
        <v>516</v>
      </c>
      <c r="E196" s="357" t="s">
        <v>276</v>
      </c>
      <c r="F196" s="358" t="n">
        <v>30</v>
      </c>
      <c r="G196" s="359" t="s">
        <v>196</v>
      </c>
      <c r="H196" s="360" t="n">
        <v>45901</v>
      </c>
      <c r="J196" s="370" t="s">
        <v>271</v>
      </c>
      <c r="K196" s="88"/>
      <c r="L196" s="88"/>
      <c r="M196" s="371" t="n">
        <f aca="false">SUM(M198:M199)</f>
        <v>35481.27</v>
      </c>
    </row>
    <row r="197" customFormat="false" ht="15" hidden="true" customHeight="true" outlineLevel="0" collapsed="false">
      <c r="B197" s="372"/>
      <c r="C197" s="373"/>
      <c r="F197" s="374"/>
      <c r="G197" s="77"/>
      <c r="H197" s="375"/>
      <c r="J197" s="87" t="s">
        <v>271</v>
      </c>
      <c r="K197" s="126"/>
      <c r="L197" s="126"/>
      <c r="M197" s="127" t="n">
        <f aca="false">SUM(M198:M199)</f>
        <v>35481.27</v>
      </c>
    </row>
    <row r="198" customFormat="false" ht="15" hidden="true" customHeight="true" outlineLevel="0" collapsed="false">
      <c r="B198" s="361" t="n">
        <v>45911</v>
      </c>
      <c r="C198" s="330" t="s">
        <v>584</v>
      </c>
      <c r="D198" s="362" t="s">
        <v>589</v>
      </c>
      <c r="E198" s="362" t="s">
        <v>572</v>
      </c>
      <c r="F198" s="363" t="n">
        <v>120</v>
      </c>
      <c r="G198" s="364" t="s">
        <v>196</v>
      </c>
      <c r="H198" s="365" t="n">
        <v>45901</v>
      </c>
      <c r="J198" s="96" t="s">
        <v>272</v>
      </c>
      <c r="K198" s="96"/>
      <c r="L198" s="96"/>
      <c r="M198" s="99" t="n">
        <f aca="false">SUM(F182,F183,F184,F189,F192,F199,F201,F203,F204,F209,F211,F214,F215,F213,F220:F224,F227:F229)</f>
        <v>35481.27</v>
      </c>
    </row>
    <row r="199" customFormat="false" ht="15" hidden="true" customHeight="true" outlineLevel="0" collapsed="false">
      <c r="B199" s="346" t="n">
        <v>45912</v>
      </c>
      <c r="C199" s="329" t="s">
        <v>584</v>
      </c>
      <c r="D199" s="347" t="s">
        <v>313</v>
      </c>
      <c r="E199" s="347" t="s">
        <v>75</v>
      </c>
      <c r="F199" s="348" t="n">
        <v>2500</v>
      </c>
      <c r="G199" s="349" t="s">
        <v>204</v>
      </c>
      <c r="H199" s="350" t="n">
        <v>45870</v>
      </c>
      <c r="J199" s="96" t="s">
        <v>273</v>
      </c>
      <c r="K199" s="96"/>
      <c r="L199" s="96"/>
      <c r="M199" s="83"/>
    </row>
    <row r="200" customFormat="false" ht="15" hidden="true" customHeight="true" outlineLevel="0" collapsed="false">
      <c r="B200" s="361" t="n">
        <v>45912</v>
      </c>
      <c r="C200" s="330" t="s">
        <v>584</v>
      </c>
      <c r="D200" s="362" t="s">
        <v>585</v>
      </c>
      <c r="E200" s="362" t="s">
        <v>551</v>
      </c>
      <c r="F200" s="363" t="n">
        <v>2500</v>
      </c>
      <c r="G200" s="364" t="s">
        <v>196</v>
      </c>
      <c r="H200" s="365" t="n">
        <v>45901</v>
      </c>
      <c r="J200" s="87" t="s">
        <v>274</v>
      </c>
      <c r="K200" s="126"/>
      <c r="L200" s="126"/>
      <c r="M200" s="127" t="n">
        <f aca="false">SUM(M201:M205)</f>
        <v>28392.23</v>
      </c>
    </row>
    <row r="201" customFormat="false" ht="15" hidden="true" customHeight="true" outlineLevel="0" collapsed="false">
      <c r="B201" s="346" t="n">
        <v>45912</v>
      </c>
      <c r="C201" s="329" t="s">
        <v>584</v>
      </c>
      <c r="D201" s="347" t="s">
        <v>313</v>
      </c>
      <c r="E201" s="347" t="s">
        <v>83</v>
      </c>
      <c r="F201" s="348" t="n">
        <v>800</v>
      </c>
      <c r="G201" s="349" t="s">
        <v>196</v>
      </c>
      <c r="H201" s="350" t="n">
        <v>45870</v>
      </c>
      <c r="J201" s="96" t="s">
        <v>523</v>
      </c>
      <c r="K201" s="96"/>
      <c r="L201" s="96"/>
      <c r="M201" s="99" t="n">
        <f aca="false">SUM(F185,F187,F200,F205,F206,F207,F210,F216,F225:F226,F218)</f>
        <v>20202.61</v>
      </c>
      <c r="O201" s="96" t="s">
        <v>275</v>
      </c>
      <c r="P201" s="96"/>
      <c r="Q201" s="96"/>
    </row>
    <row r="202" customFormat="false" ht="15" hidden="true" customHeight="true" outlineLevel="0" collapsed="false">
      <c r="B202" s="361" t="n">
        <v>45915</v>
      </c>
      <c r="C202" s="330" t="s">
        <v>584</v>
      </c>
      <c r="D202" s="362" t="s">
        <v>516</v>
      </c>
      <c r="E202" s="362" t="s">
        <v>278</v>
      </c>
      <c r="F202" s="363" t="n">
        <f aca="false">86.94+122.42</f>
        <v>209.36</v>
      </c>
      <c r="G202" s="364" t="s">
        <v>204</v>
      </c>
      <c r="H202" s="365" t="n">
        <v>45901</v>
      </c>
      <c r="J202" s="96" t="s">
        <v>388</v>
      </c>
      <c r="K202" s="96"/>
      <c r="L202" s="96"/>
      <c r="M202" s="99" t="n">
        <f aca="false">SUM(F186,F191,F194)</f>
        <v>3584.34</v>
      </c>
      <c r="O202" s="96" t="s">
        <v>276</v>
      </c>
      <c r="P202" s="96"/>
      <c r="Q202" s="96"/>
    </row>
    <row r="203" customFormat="false" ht="15" hidden="true" customHeight="true" outlineLevel="0" collapsed="false">
      <c r="B203" s="346" t="n">
        <v>45915</v>
      </c>
      <c r="C203" s="329" t="s">
        <v>584</v>
      </c>
      <c r="D203" s="347" t="s">
        <v>313</v>
      </c>
      <c r="E203" s="347" t="s">
        <v>182</v>
      </c>
      <c r="F203" s="348" t="n">
        <v>1500</v>
      </c>
      <c r="G203" s="349" t="s">
        <v>196</v>
      </c>
      <c r="H203" s="350" t="n">
        <v>45901</v>
      </c>
      <c r="J203" s="96" t="s">
        <v>526</v>
      </c>
      <c r="K203" s="96"/>
      <c r="L203" s="96"/>
      <c r="M203" s="99" t="n">
        <f aca="false">SUM(F190,F193,F195,F196,F202,F212,F219)</f>
        <v>2854.77</v>
      </c>
      <c r="O203" s="96" t="s">
        <v>277</v>
      </c>
      <c r="P203" s="96"/>
      <c r="Q203" s="96"/>
    </row>
    <row r="204" customFormat="false" ht="15" hidden="true" customHeight="true" outlineLevel="0" collapsed="false">
      <c r="B204" s="351" t="n">
        <v>45916</v>
      </c>
      <c r="C204" s="333" t="s">
        <v>584</v>
      </c>
      <c r="D204" s="352" t="s">
        <v>313</v>
      </c>
      <c r="E204" s="352" t="s">
        <v>183</v>
      </c>
      <c r="F204" s="353" t="n">
        <v>600</v>
      </c>
      <c r="G204" s="354" t="s">
        <v>196</v>
      </c>
      <c r="H204" s="355" t="n">
        <v>45901</v>
      </c>
      <c r="J204" s="96" t="s">
        <v>280</v>
      </c>
      <c r="K204" s="96"/>
      <c r="L204" s="96"/>
      <c r="M204" s="99" t="n">
        <f aca="false">SUM(F208)</f>
        <v>1185.51</v>
      </c>
      <c r="O204" s="96" t="s">
        <v>278</v>
      </c>
      <c r="P204" s="96"/>
      <c r="Q204" s="96"/>
    </row>
    <row r="205" customFormat="false" ht="15" hidden="true" customHeight="true" outlineLevel="0" collapsed="false">
      <c r="B205" s="356" t="n">
        <v>45919</v>
      </c>
      <c r="C205" s="332" t="s">
        <v>584</v>
      </c>
      <c r="D205" s="357" t="s">
        <v>585</v>
      </c>
      <c r="E205" s="357" t="s">
        <v>559</v>
      </c>
      <c r="F205" s="358" t="n">
        <v>1834</v>
      </c>
      <c r="G205" s="359" t="s">
        <v>196</v>
      </c>
      <c r="H205" s="360" t="n">
        <v>45901</v>
      </c>
      <c r="J205" s="96" t="s">
        <v>529</v>
      </c>
      <c r="K205" s="96"/>
      <c r="L205" s="96"/>
      <c r="M205" s="99" t="n">
        <f aca="false">SUM(F188,F198,F217)</f>
        <v>565</v>
      </c>
      <c r="O205" s="96" t="s">
        <v>279</v>
      </c>
      <c r="P205" s="96"/>
      <c r="Q205" s="96"/>
    </row>
    <row r="206" customFormat="false" ht="15" hidden="true" customHeight="true" outlineLevel="0" collapsed="false">
      <c r="B206" s="361" t="n">
        <v>45919</v>
      </c>
      <c r="C206" s="330" t="s">
        <v>584</v>
      </c>
      <c r="D206" s="362" t="s">
        <v>585</v>
      </c>
      <c r="E206" s="362" t="s">
        <v>522</v>
      </c>
      <c r="F206" s="363" t="n">
        <v>2500</v>
      </c>
      <c r="G206" s="364" t="s">
        <v>196</v>
      </c>
      <c r="H206" s="365" t="n">
        <v>45901</v>
      </c>
      <c r="O206" s="96" t="s">
        <v>280</v>
      </c>
      <c r="P206" s="96"/>
      <c r="Q206" s="96"/>
    </row>
    <row r="207" customFormat="false" ht="15" hidden="true" customHeight="true" outlineLevel="0" collapsed="false">
      <c r="B207" s="356" t="n">
        <v>45919</v>
      </c>
      <c r="C207" s="332" t="s">
        <v>584</v>
      </c>
      <c r="D207" s="357" t="s">
        <v>585</v>
      </c>
      <c r="E207" s="357" t="s">
        <v>521</v>
      </c>
      <c r="F207" s="358" t="n">
        <v>3446</v>
      </c>
      <c r="G207" s="359" t="s">
        <v>196</v>
      </c>
      <c r="H207" s="360" t="n">
        <v>45901</v>
      </c>
      <c r="O207" s="96" t="s">
        <v>281</v>
      </c>
      <c r="P207" s="96"/>
      <c r="Q207" s="96"/>
    </row>
    <row r="208" customFormat="false" ht="15" hidden="true" customHeight="true" outlineLevel="0" collapsed="false">
      <c r="B208" s="361" t="n">
        <v>45922</v>
      </c>
      <c r="C208" s="330" t="s">
        <v>584</v>
      </c>
      <c r="D208" s="362" t="s">
        <v>592</v>
      </c>
      <c r="E208" s="362" t="s">
        <v>515</v>
      </c>
      <c r="F208" s="363" t="n">
        <v>1185.51</v>
      </c>
      <c r="G208" s="364" t="s">
        <v>204</v>
      </c>
      <c r="H208" s="365" t="n">
        <v>45870</v>
      </c>
      <c r="O208" s="96" t="s">
        <v>282</v>
      </c>
      <c r="P208" s="96"/>
      <c r="Q208" s="96"/>
    </row>
    <row r="209" customFormat="false" ht="15" hidden="true" customHeight="true" outlineLevel="0" collapsed="false">
      <c r="B209" s="346" t="n">
        <v>45922</v>
      </c>
      <c r="C209" s="329" t="s">
        <v>584</v>
      </c>
      <c r="D209" s="347" t="s">
        <v>313</v>
      </c>
      <c r="E209" s="347" t="s">
        <v>579</v>
      </c>
      <c r="F209" s="348" t="n">
        <v>2000</v>
      </c>
      <c r="G209" s="349" t="s">
        <v>196</v>
      </c>
      <c r="H209" s="350" t="n">
        <v>45901</v>
      </c>
      <c r="O209" s="96" t="s">
        <v>283</v>
      </c>
      <c r="P209" s="96"/>
      <c r="Q209" s="96"/>
    </row>
    <row r="210" customFormat="false" ht="15" hidden="true" customHeight="true" outlineLevel="0" collapsed="false">
      <c r="B210" s="361" t="n">
        <v>45923</v>
      </c>
      <c r="C210" s="330" t="s">
        <v>584</v>
      </c>
      <c r="D210" s="362" t="s">
        <v>585</v>
      </c>
      <c r="E210" s="362" t="s">
        <v>457</v>
      </c>
      <c r="F210" s="363" t="n">
        <v>1834</v>
      </c>
      <c r="G210" s="364" t="s">
        <v>196</v>
      </c>
      <c r="H210" s="365" t="n">
        <v>45901</v>
      </c>
      <c r="O210" s="96" t="s">
        <v>593</v>
      </c>
      <c r="P210" s="96"/>
      <c r="Q210" s="96"/>
    </row>
    <row r="211" customFormat="false" ht="15" hidden="true" customHeight="true" outlineLevel="0" collapsed="false">
      <c r="B211" s="346" t="n">
        <v>45924</v>
      </c>
      <c r="C211" s="329" t="s">
        <v>584</v>
      </c>
      <c r="D211" s="347" t="s">
        <v>313</v>
      </c>
      <c r="E211" s="347" t="s">
        <v>201</v>
      </c>
      <c r="F211" s="348" t="n">
        <v>750</v>
      </c>
      <c r="G211" s="349" t="s">
        <v>204</v>
      </c>
      <c r="H211" s="350" t="n">
        <v>45901</v>
      </c>
    </row>
    <row r="212" customFormat="false" ht="15" hidden="true" customHeight="true" outlineLevel="0" collapsed="false">
      <c r="B212" s="361" t="n">
        <v>45924</v>
      </c>
      <c r="C212" s="330" t="s">
        <v>584</v>
      </c>
      <c r="D212" s="362" t="s">
        <v>516</v>
      </c>
      <c r="E212" s="362" t="s">
        <v>276</v>
      </c>
      <c r="F212" s="363" t="n">
        <v>30</v>
      </c>
      <c r="G212" s="364" t="s">
        <v>196</v>
      </c>
      <c r="H212" s="365" t="n">
        <v>45901</v>
      </c>
    </row>
    <row r="213" customFormat="false" ht="15" hidden="true" customHeight="true" outlineLevel="0" collapsed="false">
      <c r="B213" s="351" t="n">
        <v>45925</v>
      </c>
      <c r="C213" s="333" t="s">
        <v>584</v>
      </c>
      <c r="D213" s="352" t="s">
        <v>313</v>
      </c>
      <c r="E213" s="352" t="s">
        <v>533</v>
      </c>
      <c r="F213" s="353" t="n">
        <v>2250</v>
      </c>
      <c r="G213" s="354" t="s">
        <v>204</v>
      </c>
      <c r="H213" s="355" t="n">
        <v>45901</v>
      </c>
    </row>
    <row r="214" customFormat="false" ht="15" hidden="true" customHeight="true" outlineLevel="0" collapsed="false">
      <c r="B214" s="346" t="n">
        <v>45925</v>
      </c>
      <c r="C214" s="329" t="s">
        <v>584</v>
      </c>
      <c r="D214" s="347" t="s">
        <v>313</v>
      </c>
      <c r="E214" s="347" t="s">
        <v>64</v>
      </c>
      <c r="F214" s="348" t="n">
        <v>1900</v>
      </c>
      <c r="G214" s="349" t="s">
        <v>204</v>
      </c>
      <c r="H214" s="350" t="n">
        <v>45901</v>
      </c>
    </row>
    <row r="215" customFormat="false" ht="15" hidden="true" customHeight="true" outlineLevel="0" collapsed="false">
      <c r="B215" s="351" t="n">
        <v>45925</v>
      </c>
      <c r="C215" s="333" t="s">
        <v>584</v>
      </c>
      <c r="D215" s="352" t="s">
        <v>313</v>
      </c>
      <c r="E215" s="352" t="s">
        <v>510</v>
      </c>
      <c r="F215" s="353" t="n">
        <v>1983.59</v>
      </c>
      <c r="G215" s="354" t="s">
        <v>196</v>
      </c>
      <c r="H215" s="355" t="n">
        <v>45901</v>
      </c>
    </row>
    <row r="216" customFormat="false" ht="15" hidden="true" customHeight="true" outlineLevel="0" collapsed="false">
      <c r="B216" s="356" t="n">
        <v>45925</v>
      </c>
      <c r="C216" s="332" t="s">
        <v>584</v>
      </c>
      <c r="D216" s="357" t="s">
        <v>585</v>
      </c>
      <c r="E216" s="357" t="s">
        <v>532</v>
      </c>
      <c r="F216" s="358" t="n">
        <v>2280.9</v>
      </c>
      <c r="G216" s="359" t="s">
        <v>196</v>
      </c>
      <c r="H216" s="360" t="n">
        <v>45901</v>
      </c>
    </row>
    <row r="217" customFormat="false" ht="15" hidden="true" customHeight="true" outlineLevel="0" collapsed="false">
      <c r="B217" s="361" t="n">
        <v>45925</v>
      </c>
      <c r="C217" s="330" t="s">
        <v>584</v>
      </c>
      <c r="D217" s="362" t="s">
        <v>589</v>
      </c>
      <c r="E217" s="362" t="s">
        <v>594</v>
      </c>
      <c r="F217" s="363" t="n">
        <v>345</v>
      </c>
      <c r="G217" s="364" t="s">
        <v>196</v>
      </c>
      <c r="H217" s="365" t="n">
        <v>45901</v>
      </c>
    </row>
    <row r="218" customFormat="false" ht="15" hidden="true" customHeight="true" outlineLevel="0" collapsed="false">
      <c r="B218" s="356" t="n">
        <v>45925</v>
      </c>
      <c r="C218" s="332" t="s">
        <v>584</v>
      </c>
      <c r="D218" s="357" t="s">
        <v>585</v>
      </c>
      <c r="E218" s="357" t="s">
        <v>595</v>
      </c>
      <c r="F218" s="358" t="n">
        <v>1500</v>
      </c>
      <c r="G218" s="359" t="s">
        <v>196</v>
      </c>
      <c r="H218" s="360" t="n">
        <v>45901</v>
      </c>
    </row>
    <row r="219" customFormat="false" ht="15" hidden="true" customHeight="true" outlineLevel="0" collapsed="false">
      <c r="B219" s="361" t="n">
        <v>45925</v>
      </c>
      <c r="C219" s="330" t="s">
        <v>584</v>
      </c>
      <c r="D219" s="362" t="s">
        <v>589</v>
      </c>
      <c r="E219" s="362" t="s">
        <v>518</v>
      </c>
      <c r="F219" s="363" t="n">
        <v>235</v>
      </c>
      <c r="G219" s="364" t="s">
        <v>196</v>
      </c>
      <c r="H219" s="365" t="n">
        <v>45901</v>
      </c>
    </row>
    <row r="220" customFormat="false" ht="15" hidden="true" customHeight="true" outlineLevel="0" collapsed="false">
      <c r="B220" s="346" t="n">
        <v>45925</v>
      </c>
      <c r="C220" s="329" t="s">
        <v>584</v>
      </c>
      <c r="D220" s="347" t="s">
        <v>313</v>
      </c>
      <c r="E220" s="347" t="s">
        <v>191</v>
      </c>
      <c r="F220" s="348" t="n">
        <v>1350</v>
      </c>
      <c r="G220" s="349" t="s">
        <v>204</v>
      </c>
      <c r="H220" s="350" t="n">
        <v>45901</v>
      </c>
    </row>
    <row r="221" customFormat="false" ht="15" hidden="true" customHeight="true" outlineLevel="0" collapsed="false">
      <c r="B221" s="351" t="n">
        <v>45926</v>
      </c>
      <c r="C221" s="333" t="s">
        <v>584</v>
      </c>
      <c r="D221" s="352" t="s">
        <v>313</v>
      </c>
      <c r="E221" s="352" t="s">
        <v>541</v>
      </c>
      <c r="F221" s="353" t="n">
        <v>650</v>
      </c>
      <c r="G221" s="354" t="s">
        <v>196</v>
      </c>
      <c r="H221" s="355" t="n">
        <v>45901</v>
      </c>
    </row>
    <row r="222" customFormat="false" ht="15" hidden="true" customHeight="true" outlineLevel="0" collapsed="false">
      <c r="B222" s="346" t="n">
        <v>45930</v>
      </c>
      <c r="C222" s="329" t="s">
        <v>584</v>
      </c>
      <c r="D222" s="347" t="s">
        <v>313</v>
      </c>
      <c r="E222" s="347" t="s">
        <v>560</v>
      </c>
      <c r="F222" s="348" t="n">
        <v>2000</v>
      </c>
      <c r="G222" s="349" t="s">
        <v>204</v>
      </c>
      <c r="H222" s="350" t="n">
        <v>45901</v>
      </c>
    </row>
    <row r="223" customFormat="false" ht="15" hidden="true" customHeight="true" outlineLevel="0" collapsed="false">
      <c r="B223" s="351" t="n">
        <v>45930</v>
      </c>
      <c r="C223" s="333" t="s">
        <v>584</v>
      </c>
      <c r="D223" s="352" t="s">
        <v>313</v>
      </c>
      <c r="E223" s="352" t="s">
        <v>542</v>
      </c>
      <c r="F223" s="353" t="n">
        <v>1250</v>
      </c>
      <c r="G223" s="354" t="s">
        <v>204</v>
      </c>
      <c r="H223" s="355" t="n">
        <v>45901</v>
      </c>
    </row>
    <row r="224" customFormat="false" ht="15" hidden="true" customHeight="true" outlineLevel="0" collapsed="false">
      <c r="B224" s="346" t="n">
        <v>45930</v>
      </c>
      <c r="C224" s="329" t="s">
        <v>584</v>
      </c>
      <c r="D224" s="347" t="s">
        <v>313</v>
      </c>
      <c r="E224" s="347" t="s">
        <v>527</v>
      </c>
      <c r="F224" s="348" t="n">
        <v>600</v>
      </c>
      <c r="G224" s="349" t="s">
        <v>196</v>
      </c>
      <c r="H224" s="350" t="n">
        <v>45901</v>
      </c>
    </row>
    <row r="225" customFormat="false" ht="15" hidden="true" customHeight="true" outlineLevel="0" collapsed="false">
      <c r="B225" s="361" t="n">
        <v>45930</v>
      </c>
      <c r="C225" s="330" t="s">
        <v>584</v>
      </c>
      <c r="D225" s="362" t="s">
        <v>585</v>
      </c>
      <c r="E225" s="362" t="s">
        <v>596</v>
      </c>
      <c r="F225" s="363" t="n">
        <v>1619.6</v>
      </c>
      <c r="G225" s="364" t="s">
        <v>196</v>
      </c>
      <c r="H225" s="365" t="n">
        <v>45901</v>
      </c>
    </row>
    <row r="226" customFormat="false" ht="15" hidden="true" customHeight="true" outlineLevel="0" collapsed="false">
      <c r="B226" s="356" t="n">
        <v>45930</v>
      </c>
      <c r="C226" s="332" t="s">
        <v>584</v>
      </c>
      <c r="D226" s="357" t="s">
        <v>585</v>
      </c>
      <c r="E226" s="357" t="s">
        <v>537</v>
      </c>
      <c r="F226" s="358" t="n">
        <v>516.25</v>
      </c>
      <c r="G226" s="359" t="s">
        <v>196</v>
      </c>
      <c r="H226" s="360" t="n">
        <v>45901</v>
      </c>
    </row>
    <row r="227" customFormat="false" ht="15" hidden="true" customHeight="true" outlineLevel="0" collapsed="false">
      <c r="B227" s="351" t="n">
        <v>45930</v>
      </c>
      <c r="C227" s="333" t="s">
        <v>584</v>
      </c>
      <c r="D227" s="352" t="s">
        <v>313</v>
      </c>
      <c r="E227" s="352" t="s">
        <v>65</v>
      </c>
      <c r="F227" s="353" t="n">
        <v>6137.68</v>
      </c>
      <c r="G227" s="354" t="s">
        <v>196</v>
      </c>
      <c r="H227" s="355" t="n">
        <v>45901</v>
      </c>
    </row>
    <row r="228" customFormat="false" ht="15" hidden="true" customHeight="true" outlineLevel="0" collapsed="false">
      <c r="B228" s="346" t="n">
        <v>45930</v>
      </c>
      <c r="C228" s="329" t="s">
        <v>584</v>
      </c>
      <c r="D228" s="347" t="s">
        <v>313</v>
      </c>
      <c r="E228" s="347" t="s">
        <v>597</v>
      </c>
      <c r="F228" s="348" t="n">
        <v>1360</v>
      </c>
      <c r="G228" s="349" t="s">
        <v>196</v>
      </c>
      <c r="H228" s="350" t="n">
        <v>45901</v>
      </c>
    </row>
    <row r="229" customFormat="false" ht="15" hidden="true" customHeight="true" outlineLevel="0" collapsed="false">
      <c r="B229" s="351" t="n">
        <v>45930</v>
      </c>
      <c r="C229" s="333" t="s">
        <v>584</v>
      </c>
      <c r="D229" s="352" t="s">
        <v>313</v>
      </c>
      <c r="E229" s="352" t="s">
        <v>205</v>
      </c>
      <c r="F229" s="353" t="n">
        <v>600</v>
      </c>
      <c r="G229" s="354" t="s">
        <v>196</v>
      </c>
      <c r="H229" s="355" t="n">
        <v>45901</v>
      </c>
    </row>
    <row r="230" customFormat="false" ht="15" hidden="true" customHeight="true" outlineLevel="0" collapsed="false">
      <c r="B230" s="372"/>
      <c r="C230" s="373"/>
      <c r="F230" s="374"/>
      <c r="G230" s="77"/>
      <c r="H230" s="77"/>
      <c r="J230" s="95" t="s">
        <v>269</v>
      </c>
      <c r="K230" s="96"/>
      <c r="L230" s="97" t="n">
        <v>7284</v>
      </c>
      <c r="M230" s="97" t="n">
        <v>16964.99</v>
      </c>
      <c r="N230" s="97" t="n">
        <v>16001.81</v>
      </c>
      <c r="O230" s="98" t="n">
        <f aca="false">M230-N230</f>
        <v>963.180000000002</v>
      </c>
      <c r="P230" s="99" t="n">
        <f aca="false">L230+O230</f>
        <v>8247.18</v>
      </c>
    </row>
    <row r="231" customFormat="false" ht="15" hidden="true" customHeight="true" outlineLevel="0" collapsed="false">
      <c r="B231" s="361" t="n">
        <v>45931</v>
      </c>
      <c r="C231" s="330" t="s">
        <v>598</v>
      </c>
      <c r="D231" s="362" t="s">
        <v>585</v>
      </c>
      <c r="E231" s="362" t="s">
        <v>567</v>
      </c>
      <c r="F231" s="363" t="n">
        <v>329</v>
      </c>
      <c r="G231" s="364" t="s">
        <v>196</v>
      </c>
      <c r="H231" s="365" t="n">
        <v>45931</v>
      </c>
      <c r="J231" s="105" t="s">
        <v>28</v>
      </c>
      <c r="K231" s="106"/>
      <c r="L231" s="107" t="n">
        <v>8247.18</v>
      </c>
      <c r="M231" s="107" t="n">
        <v>22253.63</v>
      </c>
      <c r="N231" s="107" t="n">
        <v>17207.49</v>
      </c>
      <c r="O231" s="108" t="n">
        <f aca="false">M231-N231</f>
        <v>5046.14</v>
      </c>
      <c r="P231" s="109" t="n">
        <f aca="false">L231+O231</f>
        <v>13293.32</v>
      </c>
    </row>
    <row r="232" customFormat="false" ht="15" hidden="true" customHeight="true" outlineLevel="0" collapsed="false">
      <c r="B232" s="356" t="n">
        <v>45931</v>
      </c>
      <c r="C232" s="332" t="s">
        <v>598</v>
      </c>
      <c r="D232" s="357" t="s">
        <v>513</v>
      </c>
      <c r="E232" s="357" t="s">
        <v>539</v>
      </c>
      <c r="F232" s="358" t="n">
        <v>2405.39</v>
      </c>
      <c r="G232" s="359" t="s">
        <v>587</v>
      </c>
      <c r="H232" s="360" t="n">
        <v>45901</v>
      </c>
      <c r="J232" s="95" t="s">
        <v>31</v>
      </c>
      <c r="K232" s="96"/>
      <c r="L232" s="97" t="n">
        <v>13293.32</v>
      </c>
      <c r="M232" s="97" t="n">
        <v>16900</v>
      </c>
      <c r="N232" s="97" t="n">
        <v>20527.31</v>
      </c>
      <c r="O232" s="110" t="n">
        <f aca="false">M232-N232</f>
        <v>-3627.31</v>
      </c>
      <c r="P232" s="99" t="n">
        <f aca="false">L232+O232</f>
        <v>9666.01</v>
      </c>
    </row>
    <row r="233" customFormat="false" ht="15" hidden="true" customHeight="true" outlineLevel="0" collapsed="false">
      <c r="B233" s="361" t="n">
        <v>45931</v>
      </c>
      <c r="C233" s="330" t="s">
        <v>598</v>
      </c>
      <c r="D233" s="362" t="s">
        <v>513</v>
      </c>
      <c r="E233" s="362" t="s">
        <v>403</v>
      </c>
      <c r="F233" s="363" t="n">
        <v>507.51</v>
      </c>
      <c r="G233" s="364" t="s">
        <v>587</v>
      </c>
      <c r="H233" s="365" t="n">
        <v>45901</v>
      </c>
      <c r="J233" s="105" t="s">
        <v>34</v>
      </c>
      <c r="K233" s="106"/>
      <c r="L233" s="107" t="n">
        <v>9666.01</v>
      </c>
      <c r="M233" s="107" t="n">
        <v>19175.97</v>
      </c>
      <c r="N233" s="107" t="n">
        <v>19900</v>
      </c>
      <c r="O233" s="111" t="n">
        <f aca="false">M233-N233</f>
        <v>-724.029999999999</v>
      </c>
      <c r="P233" s="109" t="n">
        <f aca="false">L233+O233</f>
        <v>8941.98</v>
      </c>
    </row>
    <row r="234" customFormat="false" ht="15" hidden="true" customHeight="true" outlineLevel="0" collapsed="false">
      <c r="B234" s="356" t="n">
        <v>45931</v>
      </c>
      <c r="C234" s="332" t="s">
        <v>598</v>
      </c>
      <c r="D234" s="357" t="s">
        <v>589</v>
      </c>
      <c r="E234" s="357" t="s">
        <v>599</v>
      </c>
      <c r="F234" s="358" t="n">
        <v>359.95</v>
      </c>
      <c r="G234" s="359" t="s">
        <v>587</v>
      </c>
      <c r="H234" s="360" t="n">
        <v>45901</v>
      </c>
      <c r="J234" s="95" t="s">
        <v>38</v>
      </c>
      <c r="K234" s="96"/>
      <c r="L234" s="97" t="n">
        <f aca="false">L186</f>
        <v>8941.98</v>
      </c>
      <c r="M234" s="97" t="n">
        <f aca="false">M186</f>
        <v>21491.14</v>
      </c>
      <c r="N234" s="97" t="n">
        <f aca="false">N186</f>
        <v>17732.12</v>
      </c>
      <c r="O234" s="112" t="n">
        <f aca="false">M234-N234</f>
        <v>3759.02</v>
      </c>
      <c r="P234" s="113" t="n">
        <f aca="false">L234+O234</f>
        <v>12701</v>
      </c>
    </row>
    <row r="235" customFormat="false" ht="15" hidden="true" customHeight="true" outlineLevel="0" collapsed="false">
      <c r="B235" s="361" t="n">
        <v>45931</v>
      </c>
      <c r="C235" s="330" t="s">
        <v>598</v>
      </c>
      <c r="D235" s="362" t="s">
        <v>589</v>
      </c>
      <c r="E235" s="362" t="s">
        <v>594</v>
      </c>
      <c r="F235" s="363" t="n">
        <v>309.46</v>
      </c>
      <c r="G235" s="364" t="s">
        <v>587</v>
      </c>
      <c r="H235" s="365" t="n">
        <v>45901</v>
      </c>
      <c r="J235" s="105" t="s">
        <v>41</v>
      </c>
      <c r="K235" s="106"/>
      <c r="L235" s="107" t="n">
        <f aca="false">L187</f>
        <v>12701</v>
      </c>
      <c r="M235" s="107" t="n">
        <f aca="false">M187</f>
        <v>16824.3</v>
      </c>
      <c r="N235" s="107" t="n">
        <f aca="false">N187</f>
        <v>22872.97</v>
      </c>
      <c r="O235" s="331" t="n">
        <f aca="false">M235-N235</f>
        <v>-6048.67</v>
      </c>
      <c r="P235" s="107" t="n">
        <f aca="false">L235+O235</f>
        <v>6652.33</v>
      </c>
    </row>
    <row r="236" customFormat="false" ht="15" hidden="true" customHeight="true" outlineLevel="0" collapsed="false">
      <c r="B236" s="356" t="n">
        <v>45931</v>
      </c>
      <c r="C236" s="332" t="s">
        <v>598</v>
      </c>
      <c r="D236" s="357" t="s">
        <v>589</v>
      </c>
      <c r="E236" s="357" t="s">
        <v>600</v>
      </c>
      <c r="F236" s="358" t="n">
        <v>72.5</v>
      </c>
      <c r="G236" s="359" t="s">
        <v>587</v>
      </c>
      <c r="H236" s="360" t="n">
        <v>45901</v>
      </c>
      <c r="J236" s="95" t="s">
        <v>43</v>
      </c>
      <c r="K236" s="96"/>
      <c r="L236" s="97" t="n">
        <f aca="false">L188</f>
        <v>6652.33</v>
      </c>
      <c r="M236" s="97" t="n">
        <f aca="false">M188</f>
        <v>23620.44</v>
      </c>
      <c r="N236" s="97" t="n">
        <f aca="false">N188</f>
        <v>19544.34</v>
      </c>
      <c r="O236" s="112" t="n">
        <f aca="false">M236-N236</f>
        <v>4076.1</v>
      </c>
      <c r="P236" s="113" t="n">
        <f aca="false">L236+O236</f>
        <v>10728.43</v>
      </c>
    </row>
    <row r="237" customFormat="false" ht="15" hidden="true" customHeight="true" outlineLevel="0" collapsed="false">
      <c r="B237" s="361" t="n">
        <v>45933</v>
      </c>
      <c r="C237" s="330" t="s">
        <v>598</v>
      </c>
      <c r="D237" s="362" t="s">
        <v>516</v>
      </c>
      <c r="E237" s="362" t="s">
        <v>536</v>
      </c>
      <c r="F237" s="363" t="n">
        <v>129.37</v>
      </c>
      <c r="G237" s="364" t="s">
        <v>196</v>
      </c>
      <c r="H237" s="365" t="n">
        <v>45901</v>
      </c>
      <c r="J237" s="105" t="s">
        <v>44</v>
      </c>
      <c r="K237" s="106"/>
      <c r="L237" s="107" t="n">
        <f aca="false">L189</f>
        <v>10728.43</v>
      </c>
      <c r="M237" s="107" t="n">
        <f aca="false">M189</f>
        <v>26833.46</v>
      </c>
      <c r="N237" s="107" t="n">
        <f aca="false">N189</f>
        <v>26769.95</v>
      </c>
      <c r="O237" s="119" t="n">
        <f aca="false">M237-N237</f>
        <v>63.5099999999984</v>
      </c>
      <c r="P237" s="107" t="n">
        <f aca="false">L237+O237</f>
        <v>10791.94</v>
      </c>
    </row>
    <row r="238" customFormat="false" ht="15" hidden="true" customHeight="true" outlineLevel="0" collapsed="false">
      <c r="B238" s="356" t="n">
        <v>45936</v>
      </c>
      <c r="C238" s="332" t="s">
        <v>598</v>
      </c>
      <c r="D238" s="357" t="s">
        <v>589</v>
      </c>
      <c r="E238" s="357" t="s">
        <v>590</v>
      </c>
      <c r="F238" s="358" t="n">
        <v>190</v>
      </c>
      <c r="G238" s="359" t="s">
        <v>196</v>
      </c>
      <c r="H238" s="360" t="n">
        <v>45931</v>
      </c>
      <c r="J238" s="95" t="s">
        <v>45</v>
      </c>
      <c r="K238" s="96"/>
      <c r="L238" s="97" t="n">
        <f aca="false">L190</f>
        <v>10791.94</v>
      </c>
      <c r="M238" s="97" t="n">
        <f aca="false">M190</f>
        <v>35481.27</v>
      </c>
      <c r="N238" s="97" t="n">
        <f aca="false">N190</f>
        <v>28392.23</v>
      </c>
      <c r="O238" s="112" t="n">
        <f aca="false">M238-N238</f>
        <v>7089.04</v>
      </c>
      <c r="P238" s="113" t="n">
        <f aca="false">L238+O238</f>
        <v>17880.98</v>
      </c>
    </row>
    <row r="239" customFormat="false" ht="15" hidden="true" customHeight="true" outlineLevel="0" collapsed="false">
      <c r="B239" s="361" t="n">
        <v>45936</v>
      </c>
      <c r="C239" s="330" t="s">
        <v>598</v>
      </c>
      <c r="D239" s="362" t="s">
        <v>516</v>
      </c>
      <c r="E239" s="362" t="s">
        <v>275</v>
      </c>
      <c r="F239" s="363" t="n">
        <v>1925.41</v>
      </c>
      <c r="G239" s="364" t="s">
        <v>204</v>
      </c>
      <c r="H239" s="365" t="n">
        <v>45901</v>
      </c>
      <c r="J239" s="105" t="s">
        <v>46</v>
      </c>
      <c r="K239" s="106"/>
      <c r="L239" s="107" t="n">
        <f aca="false">P238</f>
        <v>17880.98</v>
      </c>
      <c r="M239" s="107" t="n">
        <f aca="false">M244</f>
        <v>31968.23</v>
      </c>
      <c r="N239" s="107" t="n">
        <f aca="false">M247</f>
        <v>36518.54</v>
      </c>
      <c r="O239" s="119" t="n">
        <f aca="false">M239-N239</f>
        <v>-4550.31</v>
      </c>
      <c r="P239" s="107" t="n">
        <f aca="false">L239+O239</f>
        <v>13330.67</v>
      </c>
    </row>
    <row r="240" customFormat="false" ht="15" hidden="true" customHeight="true" outlineLevel="0" collapsed="false">
      <c r="B240" s="356" t="n">
        <v>45936</v>
      </c>
      <c r="C240" s="332" t="s">
        <v>598</v>
      </c>
      <c r="D240" s="357" t="s">
        <v>513</v>
      </c>
      <c r="E240" s="357" t="s">
        <v>514</v>
      </c>
      <c r="F240" s="358" t="n">
        <v>712.32</v>
      </c>
      <c r="G240" s="359" t="s">
        <v>196</v>
      </c>
      <c r="H240" s="360" t="n">
        <v>45931</v>
      </c>
      <c r="J240" s="95" t="s">
        <v>47</v>
      </c>
      <c r="K240" s="96"/>
      <c r="L240" s="99"/>
      <c r="M240" s="99"/>
      <c r="N240" s="99"/>
      <c r="O240" s="125"/>
      <c r="P240" s="83"/>
    </row>
    <row r="241" customFormat="false" ht="15" hidden="true" customHeight="true" outlineLevel="0" collapsed="false">
      <c r="B241" s="351" t="n">
        <v>45936</v>
      </c>
      <c r="C241" s="333" t="s">
        <v>598</v>
      </c>
      <c r="D241" s="352" t="s">
        <v>313</v>
      </c>
      <c r="E241" s="352" t="s">
        <v>601</v>
      </c>
      <c r="F241" s="353" t="n">
        <v>2000</v>
      </c>
      <c r="G241" s="354" t="s">
        <v>204</v>
      </c>
      <c r="H241" s="355" t="n">
        <v>45931</v>
      </c>
      <c r="J241" s="105" t="s">
        <v>48</v>
      </c>
      <c r="K241" s="106"/>
      <c r="L241" s="109"/>
      <c r="M241" s="109"/>
      <c r="N241" s="109"/>
      <c r="O241" s="108"/>
      <c r="P241" s="109"/>
    </row>
    <row r="242" customFormat="false" ht="15" hidden="true" customHeight="true" outlineLevel="0" collapsed="false">
      <c r="B242" s="346" t="n">
        <v>45936</v>
      </c>
      <c r="C242" s="329" t="s">
        <v>598</v>
      </c>
      <c r="D242" s="347" t="s">
        <v>313</v>
      </c>
      <c r="E242" s="347" t="s">
        <v>509</v>
      </c>
      <c r="F242" s="348" t="n">
        <v>1250</v>
      </c>
      <c r="G242" s="349" t="s">
        <v>204</v>
      </c>
      <c r="H242" s="350" t="n">
        <v>45901</v>
      </c>
    </row>
    <row r="243" customFormat="false" ht="15" hidden="true" customHeight="true" outlineLevel="0" collapsed="false">
      <c r="B243" s="351" t="n">
        <v>45936</v>
      </c>
      <c r="C243" s="333" t="s">
        <v>598</v>
      </c>
      <c r="D243" s="352" t="s">
        <v>313</v>
      </c>
      <c r="E243" s="352" t="s">
        <v>564</v>
      </c>
      <c r="F243" s="353" t="n">
        <v>1900</v>
      </c>
      <c r="G243" s="354" t="s">
        <v>196</v>
      </c>
      <c r="H243" s="355" t="n">
        <v>45901</v>
      </c>
      <c r="J243" s="367" t="s">
        <v>270</v>
      </c>
      <c r="K243" s="128"/>
      <c r="L243" s="128"/>
      <c r="M243" s="128"/>
    </row>
    <row r="244" customFormat="false" ht="15" hidden="true" customHeight="true" outlineLevel="0" collapsed="false">
      <c r="B244" s="356" t="n">
        <v>45937</v>
      </c>
      <c r="C244" s="332" t="s">
        <v>598</v>
      </c>
      <c r="D244" s="357" t="s">
        <v>585</v>
      </c>
      <c r="E244" s="357" t="s">
        <v>602</v>
      </c>
      <c r="F244" s="358" t="n">
        <v>300</v>
      </c>
      <c r="G244" s="359" t="s">
        <v>196</v>
      </c>
      <c r="H244" s="360" t="n">
        <v>45931</v>
      </c>
      <c r="J244" s="87" t="s">
        <v>271</v>
      </c>
      <c r="K244" s="126"/>
      <c r="L244" s="126"/>
      <c r="M244" s="127" t="n">
        <f aca="false">SUM(M245:M246)</f>
        <v>31968.23</v>
      </c>
    </row>
    <row r="245" customFormat="false" ht="15" hidden="true" customHeight="true" outlineLevel="0" collapsed="false">
      <c r="B245" s="361" t="n">
        <v>45937</v>
      </c>
      <c r="C245" s="330" t="s">
        <v>598</v>
      </c>
      <c r="D245" s="362" t="s">
        <v>589</v>
      </c>
      <c r="E245" s="362" t="s">
        <v>518</v>
      </c>
      <c r="F245" s="363" t="n">
        <v>235</v>
      </c>
      <c r="G245" s="364" t="s">
        <v>196</v>
      </c>
      <c r="H245" s="365" t="n">
        <v>45931</v>
      </c>
      <c r="J245" s="96" t="s">
        <v>272</v>
      </c>
      <c r="K245" s="96"/>
      <c r="L245" s="96"/>
      <c r="M245" s="99" t="n">
        <f aca="false">SUM(F241,F242,F243,F246,F248,F252,F258,F260,F271,F274,F275,F278,F279,F282,F283,F284,F285,F287)</f>
        <v>31968.23</v>
      </c>
    </row>
    <row r="246" customFormat="false" ht="15" hidden="true" customHeight="true" outlineLevel="0" collapsed="false">
      <c r="B246" s="346" t="n">
        <v>45939</v>
      </c>
      <c r="C246" s="329" t="s">
        <v>598</v>
      </c>
      <c r="D246" s="347" t="s">
        <v>313</v>
      </c>
      <c r="E246" s="347" t="s">
        <v>83</v>
      </c>
      <c r="F246" s="348" t="n">
        <v>800</v>
      </c>
      <c r="G246" s="349" t="s">
        <v>196</v>
      </c>
      <c r="H246" s="350" t="n">
        <v>45901</v>
      </c>
      <c r="J246" s="96" t="s">
        <v>273</v>
      </c>
      <c r="K246" s="96"/>
      <c r="L246" s="96"/>
      <c r="M246" s="83"/>
    </row>
    <row r="247" customFormat="false" ht="15" hidden="true" customHeight="true" outlineLevel="0" collapsed="false">
      <c r="B247" s="361" t="n">
        <v>45939</v>
      </c>
      <c r="C247" s="330" t="s">
        <v>598</v>
      </c>
      <c r="D247" s="362" t="s">
        <v>589</v>
      </c>
      <c r="E247" s="362" t="s">
        <v>603</v>
      </c>
      <c r="F247" s="363" t="n">
        <v>169.3</v>
      </c>
      <c r="G247" s="364" t="s">
        <v>196</v>
      </c>
      <c r="H247" s="365" t="n">
        <v>45931</v>
      </c>
      <c r="J247" s="87" t="s">
        <v>274</v>
      </c>
      <c r="K247" s="126"/>
      <c r="L247" s="126"/>
      <c r="M247" s="127" t="n">
        <f aca="false">SUM(M248:M257)</f>
        <v>36518.54</v>
      </c>
    </row>
    <row r="248" customFormat="false" ht="15" hidden="true" customHeight="true" outlineLevel="0" collapsed="false">
      <c r="B248" s="346" t="n">
        <v>45940</v>
      </c>
      <c r="C248" s="329" t="s">
        <v>598</v>
      </c>
      <c r="D248" s="347" t="s">
        <v>313</v>
      </c>
      <c r="E248" s="347" t="s">
        <v>75</v>
      </c>
      <c r="F248" s="348" t="n">
        <v>2500</v>
      </c>
      <c r="G248" s="349" t="s">
        <v>204</v>
      </c>
      <c r="H248" s="350" t="n">
        <v>45901</v>
      </c>
      <c r="J248" s="96" t="s">
        <v>275</v>
      </c>
      <c r="K248" s="96"/>
      <c r="L248" s="96"/>
      <c r="M248" s="99" t="n">
        <f aca="false">SUM(F239)</f>
        <v>1925.41</v>
      </c>
    </row>
    <row r="249" customFormat="false" ht="15" hidden="true" customHeight="true" outlineLevel="0" collapsed="false">
      <c r="B249" s="361" t="n">
        <v>45940</v>
      </c>
      <c r="C249" s="330" t="s">
        <v>598</v>
      </c>
      <c r="D249" s="362" t="s">
        <v>516</v>
      </c>
      <c r="E249" s="362" t="s">
        <v>276</v>
      </c>
      <c r="F249" s="363" t="n">
        <v>30</v>
      </c>
      <c r="G249" s="364" t="s">
        <v>196</v>
      </c>
      <c r="H249" s="365" t="n">
        <v>45931</v>
      </c>
      <c r="J249" s="96" t="s">
        <v>276</v>
      </c>
      <c r="K249" s="96"/>
      <c r="L249" s="96"/>
      <c r="M249" s="99" t="n">
        <f aca="false">SUM(F249,F267)</f>
        <v>60</v>
      </c>
    </row>
    <row r="250" customFormat="false" ht="15" hidden="true" customHeight="true" outlineLevel="0" collapsed="false">
      <c r="B250" s="356" t="n">
        <v>45943</v>
      </c>
      <c r="C250" s="332" t="s">
        <v>598</v>
      </c>
      <c r="D250" s="357" t="s">
        <v>585</v>
      </c>
      <c r="E250" s="357" t="s">
        <v>551</v>
      </c>
      <c r="F250" s="358" t="n">
        <v>2500</v>
      </c>
      <c r="G250" s="359" t="s">
        <v>196</v>
      </c>
      <c r="H250" s="360" t="n">
        <v>45931</v>
      </c>
      <c r="J250" s="96" t="s">
        <v>277</v>
      </c>
      <c r="K250" s="96"/>
      <c r="L250" s="96"/>
      <c r="M250" s="99" t="n">
        <f aca="false">SUM(F237,F277)</f>
        <v>275.98</v>
      </c>
    </row>
    <row r="251" customFormat="false" ht="15" hidden="true" customHeight="true" outlineLevel="0" collapsed="false">
      <c r="B251" s="361" t="n">
        <v>45943</v>
      </c>
      <c r="C251" s="330" t="s">
        <v>598</v>
      </c>
      <c r="D251" s="362" t="s">
        <v>516</v>
      </c>
      <c r="E251" s="362" t="s">
        <v>278</v>
      </c>
      <c r="F251" s="363" t="n">
        <f aca="false">121.85+32+101.94</f>
        <v>255.79</v>
      </c>
      <c r="G251" s="364" t="s">
        <v>204</v>
      </c>
      <c r="H251" s="365" t="n">
        <v>45931</v>
      </c>
      <c r="J251" s="96" t="s">
        <v>278</v>
      </c>
      <c r="K251" s="96"/>
      <c r="L251" s="96"/>
      <c r="M251" s="99" t="n">
        <f aca="false">SUM(F251)</f>
        <v>255.79</v>
      </c>
    </row>
    <row r="252" customFormat="false" ht="15" hidden="true" customHeight="true" outlineLevel="0" collapsed="false">
      <c r="B252" s="346" t="n">
        <v>45943</v>
      </c>
      <c r="C252" s="329" t="s">
        <v>598</v>
      </c>
      <c r="D252" s="347" t="s">
        <v>313</v>
      </c>
      <c r="E252" s="347" t="s">
        <v>182</v>
      </c>
      <c r="F252" s="348" t="n">
        <v>1500</v>
      </c>
      <c r="G252" s="349" t="s">
        <v>204</v>
      </c>
      <c r="H252" s="350" t="n">
        <v>45931</v>
      </c>
      <c r="J252" s="96" t="s">
        <v>279</v>
      </c>
      <c r="K252" s="96"/>
      <c r="L252" s="96"/>
      <c r="M252" s="99" t="n">
        <f aca="false">SUM(F238,F245,F234,F235,F236,F247,F254,F255,F257,F261,F269,F270,F273)</f>
        <v>2611.82</v>
      </c>
    </row>
    <row r="253" customFormat="false" ht="15" hidden="true" customHeight="true" outlineLevel="0" collapsed="false">
      <c r="B253" s="361" t="n">
        <v>45943</v>
      </c>
      <c r="C253" s="330" t="s">
        <v>598</v>
      </c>
      <c r="D253" s="362" t="s">
        <v>513</v>
      </c>
      <c r="E253" s="362" t="s">
        <v>591</v>
      </c>
      <c r="F253" s="363" t="n">
        <v>500</v>
      </c>
      <c r="G253" s="364" t="s">
        <v>196</v>
      </c>
      <c r="H253" s="365" t="n">
        <v>45931</v>
      </c>
      <c r="J253" s="96" t="s">
        <v>280</v>
      </c>
      <c r="K253" s="96"/>
      <c r="L253" s="96"/>
      <c r="M253" s="99" t="n">
        <f aca="false">SUM(F259)</f>
        <v>1253.86</v>
      </c>
    </row>
    <row r="254" customFormat="false" ht="15" hidden="true" customHeight="true" outlineLevel="0" collapsed="false">
      <c r="B254" s="356" t="n">
        <v>45946</v>
      </c>
      <c r="C254" s="332" t="s">
        <v>598</v>
      </c>
      <c r="D254" s="357" t="s">
        <v>589</v>
      </c>
      <c r="E254" s="357" t="s">
        <v>604</v>
      </c>
      <c r="F254" s="358" t="n">
        <v>74</v>
      </c>
      <c r="G254" s="359" t="s">
        <v>196</v>
      </c>
      <c r="H254" s="360" t="n">
        <v>45931</v>
      </c>
      <c r="J254" s="96" t="s">
        <v>281</v>
      </c>
      <c r="K254" s="96"/>
      <c r="L254" s="96"/>
      <c r="M254" s="99" t="n">
        <f aca="false">SUM(F232,F233,F240,F253,F288,F290)</f>
        <v>9385.68</v>
      </c>
    </row>
    <row r="255" customFormat="false" ht="15" hidden="true" customHeight="true" outlineLevel="0" collapsed="false">
      <c r="B255" s="361" t="n">
        <v>45946</v>
      </c>
      <c r="C255" s="330" t="s">
        <v>598</v>
      </c>
      <c r="D255" s="362" t="s">
        <v>589</v>
      </c>
      <c r="E255" s="362" t="s">
        <v>605</v>
      </c>
      <c r="F255" s="363" t="n">
        <v>434.74</v>
      </c>
      <c r="G255" s="364" t="s">
        <v>196</v>
      </c>
      <c r="H255" s="365" t="n">
        <v>45931</v>
      </c>
      <c r="J255" s="96" t="s">
        <v>282</v>
      </c>
      <c r="K255" s="96"/>
      <c r="L255" s="96"/>
      <c r="M255" s="99" t="n">
        <f aca="false">SUM(F231,F244,F250,F256,F262,F263,F266,F268,F272,F281,F286)</f>
        <v>18644.15</v>
      </c>
    </row>
    <row r="256" customFormat="false" ht="15" hidden="true" customHeight="true" outlineLevel="0" collapsed="false">
      <c r="B256" s="356" t="n">
        <v>45947</v>
      </c>
      <c r="C256" s="332" t="s">
        <v>598</v>
      </c>
      <c r="D256" s="357" t="s">
        <v>585</v>
      </c>
      <c r="E256" s="357" t="s">
        <v>559</v>
      </c>
      <c r="F256" s="358" t="n">
        <v>1834</v>
      </c>
      <c r="G256" s="359" t="s">
        <v>196</v>
      </c>
      <c r="H256" s="360" t="n">
        <v>45931</v>
      </c>
      <c r="J256" s="96" t="s">
        <v>283</v>
      </c>
      <c r="K256" s="96"/>
      <c r="L256" s="96"/>
      <c r="M256" s="99" t="n">
        <f aca="false">SUM(F264,F265,F276,F289)</f>
        <v>1605.85</v>
      </c>
    </row>
    <row r="257" customFormat="false" ht="15" hidden="true" customHeight="true" outlineLevel="0" collapsed="false">
      <c r="B257" s="361" t="n">
        <v>45947</v>
      </c>
      <c r="C257" s="330" t="s">
        <v>598</v>
      </c>
      <c r="D257" s="362" t="s">
        <v>589</v>
      </c>
      <c r="E257" s="362" t="s">
        <v>605</v>
      </c>
      <c r="F257" s="363" t="n">
        <v>54.91</v>
      </c>
      <c r="G257" s="364" t="s">
        <v>196</v>
      </c>
      <c r="H257" s="365" t="n">
        <v>45931</v>
      </c>
      <c r="J257" s="96" t="s">
        <v>284</v>
      </c>
      <c r="K257" s="96"/>
      <c r="L257" s="96"/>
      <c r="M257" s="99" t="n">
        <f aca="false">SUM(F280)</f>
        <v>500</v>
      </c>
    </row>
    <row r="258" customFormat="false" ht="15" hidden="true" customHeight="true" outlineLevel="0" collapsed="false">
      <c r="B258" s="346" t="n">
        <v>45947</v>
      </c>
      <c r="C258" s="329" t="s">
        <v>598</v>
      </c>
      <c r="D258" s="347" t="s">
        <v>313</v>
      </c>
      <c r="E258" s="347" t="s">
        <v>183</v>
      </c>
      <c r="F258" s="348" t="n">
        <v>600</v>
      </c>
      <c r="G258" s="349" t="s">
        <v>196</v>
      </c>
      <c r="H258" s="350" t="n">
        <v>45931</v>
      </c>
    </row>
    <row r="259" customFormat="false" ht="15" hidden="true" customHeight="true" outlineLevel="0" collapsed="false">
      <c r="B259" s="361" t="n">
        <v>45950</v>
      </c>
      <c r="C259" s="330" t="s">
        <v>598</v>
      </c>
      <c r="D259" s="362" t="s">
        <v>592</v>
      </c>
      <c r="E259" s="362" t="s">
        <v>515</v>
      </c>
      <c r="F259" s="363" t="n">
        <v>1253.86</v>
      </c>
      <c r="G259" s="364" t="s">
        <v>204</v>
      </c>
      <c r="H259" s="365" t="n">
        <v>45901</v>
      </c>
    </row>
    <row r="260" customFormat="false" ht="15" hidden="true" customHeight="true" outlineLevel="0" collapsed="false">
      <c r="B260" s="346" t="n">
        <v>45950</v>
      </c>
      <c r="C260" s="329" t="s">
        <v>598</v>
      </c>
      <c r="D260" s="347" t="s">
        <v>313</v>
      </c>
      <c r="E260" s="347" t="s">
        <v>579</v>
      </c>
      <c r="F260" s="348" t="n">
        <v>2000</v>
      </c>
      <c r="G260" s="349" t="s">
        <v>196</v>
      </c>
      <c r="H260" s="350" t="n">
        <v>45931</v>
      </c>
    </row>
    <row r="261" customFormat="false" ht="15" hidden="true" customHeight="true" outlineLevel="0" collapsed="false">
      <c r="B261" s="361" t="n">
        <v>45950</v>
      </c>
      <c r="C261" s="330" t="s">
        <v>598</v>
      </c>
      <c r="D261" s="362" t="s">
        <v>589</v>
      </c>
      <c r="E261" s="362" t="s">
        <v>605</v>
      </c>
      <c r="F261" s="363" t="n">
        <v>46.96</v>
      </c>
      <c r="G261" s="364" t="s">
        <v>196</v>
      </c>
      <c r="H261" s="365" t="n">
        <v>45931</v>
      </c>
    </row>
    <row r="262" customFormat="false" ht="15" hidden="true" customHeight="true" outlineLevel="0" collapsed="false">
      <c r="B262" s="356" t="n">
        <v>45950</v>
      </c>
      <c r="C262" s="332" t="s">
        <v>598</v>
      </c>
      <c r="D262" s="357" t="s">
        <v>585</v>
      </c>
      <c r="E262" s="357" t="s">
        <v>521</v>
      </c>
      <c r="F262" s="358" t="n">
        <v>3446</v>
      </c>
      <c r="G262" s="359" t="s">
        <v>196</v>
      </c>
      <c r="H262" s="360" t="n">
        <v>45931</v>
      </c>
    </row>
    <row r="263" customFormat="false" ht="15" hidden="true" customHeight="true" outlineLevel="0" collapsed="false">
      <c r="B263" s="361" t="n">
        <v>45950</v>
      </c>
      <c r="C263" s="330" t="s">
        <v>598</v>
      </c>
      <c r="D263" s="362" t="s">
        <v>585</v>
      </c>
      <c r="E263" s="362" t="s">
        <v>522</v>
      </c>
      <c r="F263" s="363" t="n">
        <v>2500</v>
      </c>
      <c r="G263" s="364" t="s">
        <v>196</v>
      </c>
      <c r="H263" s="365" t="n">
        <v>45931</v>
      </c>
    </row>
    <row r="264" customFormat="false" ht="15" hidden="true" customHeight="true" outlineLevel="0" collapsed="false">
      <c r="B264" s="356" t="n">
        <v>45951</v>
      </c>
      <c r="C264" s="332" t="s">
        <v>598</v>
      </c>
      <c r="D264" s="357" t="s">
        <v>606</v>
      </c>
      <c r="E264" s="357" t="s">
        <v>607</v>
      </c>
      <c r="F264" s="358" t="n">
        <v>500</v>
      </c>
      <c r="G264" s="359" t="s">
        <v>196</v>
      </c>
      <c r="H264" s="360" t="n">
        <v>45931</v>
      </c>
    </row>
    <row r="265" customFormat="false" ht="15" hidden="true" customHeight="true" outlineLevel="0" collapsed="false">
      <c r="B265" s="361" t="n">
        <v>45951</v>
      </c>
      <c r="C265" s="330" t="s">
        <v>598</v>
      </c>
      <c r="D265" s="362" t="s">
        <v>606</v>
      </c>
      <c r="E265" s="362" t="s">
        <v>556</v>
      </c>
      <c r="F265" s="363" t="n">
        <v>500</v>
      </c>
      <c r="G265" s="364" t="s">
        <v>196</v>
      </c>
      <c r="H265" s="365" t="n">
        <v>45931</v>
      </c>
    </row>
    <row r="266" customFormat="false" ht="15" hidden="true" customHeight="true" outlineLevel="0" collapsed="false">
      <c r="B266" s="356" t="n">
        <v>45952</v>
      </c>
      <c r="C266" s="332" t="s">
        <v>598</v>
      </c>
      <c r="D266" s="357" t="s">
        <v>585</v>
      </c>
      <c r="E266" s="357" t="s">
        <v>595</v>
      </c>
      <c r="F266" s="358" t="n">
        <v>1500</v>
      </c>
      <c r="G266" s="359" t="s">
        <v>196</v>
      </c>
      <c r="H266" s="360" t="n">
        <v>45931</v>
      </c>
    </row>
    <row r="267" customFormat="false" ht="15" hidden="true" customHeight="true" outlineLevel="0" collapsed="false">
      <c r="B267" s="361" t="n">
        <v>45953</v>
      </c>
      <c r="C267" s="330" t="s">
        <v>598</v>
      </c>
      <c r="D267" s="362" t="s">
        <v>516</v>
      </c>
      <c r="E267" s="362" t="s">
        <v>276</v>
      </c>
      <c r="F267" s="363" t="n">
        <v>30</v>
      </c>
      <c r="G267" s="364" t="s">
        <v>196</v>
      </c>
      <c r="H267" s="365" t="n">
        <v>45931</v>
      </c>
    </row>
    <row r="268" customFormat="false" ht="15" hidden="true" customHeight="true" outlineLevel="0" collapsed="false">
      <c r="B268" s="356" t="n">
        <v>45953</v>
      </c>
      <c r="C268" s="332" t="s">
        <v>598</v>
      </c>
      <c r="D268" s="357" t="s">
        <v>585</v>
      </c>
      <c r="E268" s="357" t="s">
        <v>567</v>
      </c>
      <c r="F268" s="358" t="n">
        <v>1834</v>
      </c>
      <c r="G268" s="359" t="s">
        <v>196</v>
      </c>
      <c r="H268" s="360" t="n">
        <v>45931</v>
      </c>
    </row>
    <row r="269" customFormat="false" ht="15" hidden="true" customHeight="true" outlineLevel="0" collapsed="false">
      <c r="B269" s="361" t="n">
        <v>45953</v>
      </c>
      <c r="C269" s="330" t="s">
        <v>598</v>
      </c>
      <c r="D269" s="362" t="s">
        <v>589</v>
      </c>
      <c r="E269" s="362" t="s">
        <v>530</v>
      </c>
      <c r="F269" s="363" t="n">
        <v>85</v>
      </c>
      <c r="G269" s="364" t="s">
        <v>196</v>
      </c>
      <c r="H269" s="365" t="n">
        <v>45931</v>
      </c>
    </row>
    <row r="270" customFormat="false" ht="15" hidden="true" customHeight="true" outlineLevel="0" collapsed="false">
      <c r="B270" s="356" t="n">
        <v>45954</v>
      </c>
      <c r="C270" s="332" t="s">
        <v>598</v>
      </c>
      <c r="D270" s="357" t="s">
        <v>589</v>
      </c>
      <c r="E270" s="357" t="s">
        <v>518</v>
      </c>
      <c r="F270" s="358" t="n">
        <v>235</v>
      </c>
      <c r="G270" s="359" t="s">
        <v>196</v>
      </c>
      <c r="H270" s="360" t="n">
        <v>45931</v>
      </c>
    </row>
    <row r="271" customFormat="false" ht="15" hidden="true" customHeight="true" outlineLevel="0" collapsed="false">
      <c r="B271" s="351" t="n">
        <v>45954</v>
      </c>
      <c r="C271" s="333" t="s">
        <v>598</v>
      </c>
      <c r="D271" s="352" t="s">
        <v>313</v>
      </c>
      <c r="E271" s="352" t="s">
        <v>201</v>
      </c>
      <c r="F271" s="353" t="n">
        <v>750</v>
      </c>
      <c r="G271" s="354" t="s">
        <v>204</v>
      </c>
      <c r="H271" s="355" t="n">
        <v>45931</v>
      </c>
    </row>
    <row r="272" customFormat="false" ht="15" hidden="true" customHeight="true" outlineLevel="0" collapsed="false">
      <c r="B272" s="356" t="n">
        <v>45954</v>
      </c>
      <c r="C272" s="332" t="s">
        <v>598</v>
      </c>
      <c r="D272" s="357" t="s">
        <v>585</v>
      </c>
      <c r="E272" s="357" t="s">
        <v>532</v>
      </c>
      <c r="F272" s="358" t="n">
        <v>2280.9</v>
      </c>
      <c r="G272" s="359" t="s">
        <v>196</v>
      </c>
      <c r="H272" s="360" t="n">
        <v>45931</v>
      </c>
    </row>
    <row r="273" customFormat="false" ht="15" hidden="true" customHeight="true" outlineLevel="0" collapsed="false">
      <c r="B273" s="361" t="n">
        <v>45954</v>
      </c>
      <c r="C273" s="330" t="s">
        <v>598</v>
      </c>
      <c r="D273" s="362" t="s">
        <v>589</v>
      </c>
      <c r="E273" s="362" t="s">
        <v>594</v>
      </c>
      <c r="F273" s="363" t="n">
        <v>345</v>
      </c>
      <c r="G273" s="364" t="s">
        <v>196</v>
      </c>
      <c r="H273" s="365" t="n">
        <v>45931</v>
      </c>
    </row>
    <row r="274" customFormat="false" ht="15" hidden="true" customHeight="true" outlineLevel="0" collapsed="false">
      <c r="B274" s="346" t="n">
        <v>45957</v>
      </c>
      <c r="C274" s="329" t="s">
        <v>598</v>
      </c>
      <c r="D274" s="347" t="s">
        <v>313</v>
      </c>
      <c r="E274" s="347" t="s">
        <v>64</v>
      </c>
      <c r="F274" s="348" t="n">
        <v>1900</v>
      </c>
      <c r="G274" s="350" t="s">
        <v>204</v>
      </c>
      <c r="H274" s="350" t="n">
        <v>45931</v>
      </c>
    </row>
    <row r="275" customFormat="false" ht="15" hidden="true" customHeight="true" outlineLevel="0" collapsed="false">
      <c r="B275" s="351" t="n">
        <v>45957</v>
      </c>
      <c r="C275" s="333" t="s">
        <v>598</v>
      </c>
      <c r="D275" s="352" t="s">
        <v>313</v>
      </c>
      <c r="E275" s="352" t="s">
        <v>191</v>
      </c>
      <c r="F275" s="353" t="n">
        <v>1750</v>
      </c>
      <c r="G275" s="354" t="s">
        <v>204</v>
      </c>
      <c r="H275" s="355" t="n">
        <v>45931</v>
      </c>
    </row>
    <row r="276" customFormat="false" ht="15" hidden="true" customHeight="true" outlineLevel="0" collapsed="false">
      <c r="B276" s="356" t="n">
        <v>45957</v>
      </c>
      <c r="C276" s="332" t="s">
        <v>598</v>
      </c>
      <c r="D276" s="357" t="s">
        <v>606</v>
      </c>
      <c r="E276" s="357" t="s">
        <v>556</v>
      </c>
      <c r="F276" s="358" t="n">
        <v>100</v>
      </c>
      <c r="G276" s="359" t="s">
        <v>196</v>
      </c>
      <c r="H276" s="360" t="n">
        <v>45931</v>
      </c>
    </row>
    <row r="277" customFormat="false" ht="15" hidden="true" customHeight="true" outlineLevel="0" collapsed="false">
      <c r="B277" s="361" t="n">
        <v>45960</v>
      </c>
      <c r="C277" s="330" t="s">
        <v>598</v>
      </c>
      <c r="D277" s="362" t="s">
        <v>516</v>
      </c>
      <c r="E277" s="362" t="s">
        <v>536</v>
      </c>
      <c r="F277" s="363" t="n">
        <v>146.61</v>
      </c>
      <c r="G277" s="364" t="s">
        <v>204</v>
      </c>
      <c r="H277" s="365" t="n">
        <v>45931</v>
      </c>
    </row>
    <row r="278" customFormat="false" ht="15" hidden="true" customHeight="true" outlineLevel="0" collapsed="false">
      <c r="B278" s="346" t="n">
        <v>45960</v>
      </c>
      <c r="C278" s="329" t="s">
        <v>598</v>
      </c>
      <c r="D278" s="347" t="s">
        <v>313</v>
      </c>
      <c r="E278" s="347" t="s">
        <v>560</v>
      </c>
      <c r="F278" s="348" t="n">
        <v>2000</v>
      </c>
      <c r="G278" s="349" t="s">
        <v>204</v>
      </c>
      <c r="H278" s="350" t="n">
        <v>45931</v>
      </c>
    </row>
    <row r="279" customFormat="false" ht="15" hidden="true" customHeight="true" outlineLevel="0" collapsed="false">
      <c r="B279" s="351" t="n">
        <v>45960</v>
      </c>
      <c r="C279" s="333" t="s">
        <v>598</v>
      </c>
      <c r="D279" s="352" t="s">
        <v>313</v>
      </c>
      <c r="E279" s="352" t="s">
        <v>542</v>
      </c>
      <c r="F279" s="353" t="n">
        <v>1250</v>
      </c>
      <c r="G279" s="354" t="s">
        <v>204</v>
      </c>
      <c r="H279" s="355" t="n">
        <v>45931</v>
      </c>
    </row>
    <row r="280" customFormat="false" ht="15" hidden="true" customHeight="true" outlineLevel="0" collapsed="false">
      <c r="B280" s="356" t="n">
        <v>45960</v>
      </c>
      <c r="C280" s="332" t="s">
        <v>598</v>
      </c>
      <c r="D280" s="357" t="s">
        <v>519</v>
      </c>
      <c r="E280" s="357" t="s">
        <v>608</v>
      </c>
      <c r="F280" s="358" t="n">
        <v>500</v>
      </c>
      <c r="G280" s="359" t="s">
        <v>204</v>
      </c>
      <c r="H280" s="360" t="n">
        <v>45931</v>
      </c>
    </row>
    <row r="281" customFormat="false" ht="15" hidden="true" customHeight="true" outlineLevel="0" collapsed="false">
      <c r="B281" s="361" t="n">
        <v>45960</v>
      </c>
      <c r="C281" s="330" t="s">
        <v>598</v>
      </c>
      <c r="D281" s="362" t="s">
        <v>585</v>
      </c>
      <c r="E281" s="362" t="s">
        <v>596</v>
      </c>
      <c r="F281" s="363" t="n">
        <v>1604</v>
      </c>
      <c r="G281" s="364" t="s">
        <v>196</v>
      </c>
      <c r="H281" s="365" t="n">
        <v>45931</v>
      </c>
    </row>
    <row r="282" customFormat="false" ht="15" hidden="true" customHeight="true" outlineLevel="0" collapsed="false">
      <c r="B282" s="346" t="n">
        <v>45960</v>
      </c>
      <c r="C282" s="329" t="s">
        <v>598</v>
      </c>
      <c r="D282" s="347" t="s">
        <v>313</v>
      </c>
      <c r="E282" s="347" t="s">
        <v>65</v>
      </c>
      <c r="F282" s="348" t="n">
        <v>6137.68</v>
      </c>
      <c r="G282" s="349" t="s">
        <v>196</v>
      </c>
      <c r="H282" s="350" t="n">
        <v>45931</v>
      </c>
    </row>
    <row r="283" customFormat="false" ht="15" hidden="true" customHeight="true" outlineLevel="0" collapsed="false">
      <c r="B283" s="351" t="n">
        <v>45960</v>
      </c>
      <c r="C283" s="333" t="s">
        <v>598</v>
      </c>
      <c r="D283" s="352" t="s">
        <v>313</v>
      </c>
      <c r="E283" s="352" t="s">
        <v>597</v>
      </c>
      <c r="F283" s="353" t="n">
        <v>1360</v>
      </c>
      <c r="G283" s="354" t="s">
        <v>196</v>
      </c>
      <c r="H283" s="355" t="n">
        <v>45931</v>
      </c>
    </row>
    <row r="284" customFormat="false" ht="15" hidden="true" customHeight="true" outlineLevel="0" collapsed="false">
      <c r="B284" s="346" t="n">
        <v>45960</v>
      </c>
      <c r="C284" s="329" t="s">
        <v>598</v>
      </c>
      <c r="D284" s="347" t="s">
        <v>313</v>
      </c>
      <c r="E284" s="347" t="s">
        <v>609</v>
      </c>
      <c r="F284" s="348" t="n">
        <v>1700</v>
      </c>
      <c r="G284" s="349" t="s">
        <v>196</v>
      </c>
      <c r="H284" s="350" t="n">
        <v>45931</v>
      </c>
    </row>
    <row r="285" customFormat="false" ht="15" hidden="true" customHeight="true" outlineLevel="0" collapsed="false">
      <c r="B285" s="351" t="n">
        <v>45961</v>
      </c>
      <c r="C285" s="333" t="s">
        <v>598</v>
      </c>
      <c r="D285" s="352" t="s">
        <v>313</v>
      </c>
      <c r="E285" s="352" t="s">
        <v>510</v>
      </c>
      <c r="F285" s="353" t="n">
        <v>1970.55</v>
      </c>
      <c r="G285" s="354" t="s">
        <v>196</v>
      </c>
      <c r="H285" s="355" t="n">
        <v>45931</v>
      </c>
    </row>
    <row r="286" customFormat="false" ht="15" hidden="true" customHeight="true" outlineLevel="0" collapsed="false">
      <c r="B286" s="356" t="n">
        <v>45961</v>
      </c>
      <c r="C286" s="332" t="s">
        <v>598</v>
      </c>
      <c r="D286" s="357" t="s">
        <v>585</v>
      </c>
      <c r="E286" s="357" t="s">
        <v>537</v>
      </c>
      <c r="F286" s="358" t="n">
        <v>516.25</v>
      </c>
      <c r="G286" s="359" t="s">
        <v>196</v>
      </c>
      <c r="H286" s="360" t="n">
        <v>45931</v>
      </c>
    </row>
    <row r="287" customFormat="false" ht="15" hidden="true" customHeight="true" outlineLevel="0" collapsed="false">
      <c r="B287" s="351" t="n">
        <v>45961</v>
      </c>
      <c r="C287" s="333" t="s">
        <v>598</v>
      </c>
      <c r="D287" s="352" t="s">
        <v>313</v>
      </c>
      <c r="E287" s="352" t="s">
        <v>205</v>
      </c>
      <c r="F287" s="353" t="n">
        <v>600</v>
      </c>
      <c r="G287" s="354" t="s">
        <v>196</v>
      </c>
      <c r="H287" s="355" t="n">
        <v>45931</v>
      </c>
    </row>
    <row r="288" customFormat="false" ht="15" hidden="true" customHeight="true" outlineLevel="0" collapsed="false">
      <c r="B288" s="361" t="n">
        <v>45961</v>
      </c>
      <c r="C288" s="330" t="s">
        <v>598</v>
      </c>
      <c r="D288" s="362" t="s">
        <v>513</v>
      </c>
      <c r="E288" s="362" t="s">
        <v>403</v>
      </c>
      <c r="F288" s="363" t="n">
        <v>2579.19</v>
      </c>
      <c r="G288" s="364" t="s">
        <v>587</v>
      </c>
      <c r="H288" s="365" t="n">
        <v>45931</v>
      </c>
    </row>
    <row r="289" customFormat="false" ht="15" hidden="true" customHeight="true" outlineLevel="0" collapsed="false">
      <c r="B289" s="356" t="n">
        <v>45961</v>
      </c>
      <c r="C289" s="332" t="s">
        <v>598</v>
      </c>
      <c r="D289" s="357" t="s">
        <v>606</v>
      </c>
      <c r="E289" s="357" t="s">
        <v>556</v>
      </c>
      <c r="F289" s="358" t="n">
        <v>505.85</v>
      </c>
      <c r="G289" s="359" t="s">
        <v>587</v>
      </c>
      <c r="H289" s="360" t="n">
        <v>45931</v>
      </c>
    </row>
    <row r="290" customFormat="false" ht="15" hidden="true" customHeight="true" outlineLevel="0" collapsed="false">
      <c r="B290" s="361" t="n">
        <v>45961</v>
      </c>
      <c r="C290" s="330" t="s">
        <v>598</v>
      </c>
      <c r="D290" s="362" t="s">
        <v>513</v>
      </c>
      <c r="E290" s="362" t="s">
        <v>539</v>
      </c>
      <c r="F290" s="363" t="n">
        <v>2681.27</v>
      </c>
      <c r="G290" s="364" t="s">
        <v>587</v>
      </c>
      <c r="H290" s="365" t="n">
        <v>45931</v>
      </c>
      <c r="J290" s="105" t="s">
        <v>28</v>
      </c>
      <c r="K290" s="106"/>
      <c r="L290" s="107" t="n">
        <v>8247.18</v>
      </c>
      <c r="M290" s="107" t="n">
        <v>22253.63</v>
      </c>
      <c r="N290" s="107" t="n">
        <v>17207.49</v>
      </c>
      <c r="O290" s="108" t="n">
        <f aca="false">M290-N290</f>
        <v>5046.14</v>
      </c>
      <c r="P290" s="109" t="n">
        <f aca="false">L290+O290</f>
        <v>13293.32</v>
      </c>
    </row>
    <row r="291" customFormat="false" ht="15" hidden="true" customHeight="true" outlineLevel="0" collapsed="false">
      <c r="B291" s="346" t="n">
        <v>45964</v>
      </c>
      <c r="C291" s="329" t="s">
        <v>610</v>
      </c>
      <c r="D291" s="347" t="s">
        <v>313</v>
      </c>
      <c r="E291" s="347" t="s">
        <v>176</v>
      </c>
      <c r="F291" s="348" t="n">
        <v>1000</v>
      </c>
      <c r="G291" s="349" t="s">
        <v>204</v>
      </c>
      <c r="H291" s="350" t="n">
        <v>45931</v>
      </c>
      <c r="J291" s="95" t="s">
        <v>31</v>
      </c>
      <c r="K291" s="96"/>
      <c r="L291" s="97" t="n">
        <v>13293.32</v>
      </c>
      <c r="M291" s="97" t="n">
        <v>16900</v>
      </c>
      <c r="N291" s="97" t="n">
        <v>20527.31</v>
      </c>
      <c r="O291" s="110" t="n">
        <f aca="false">M291-N291</f>
        <v>-3627.31</v>
      </c>
      <c r="P291" s="99" t="n">
        <f aca="false">L291+O291</f>
        <v>9666.01</v>
      </c>
    </row>
    <row r="292" customFormat="false" ht="15" hidden="true" customHeight="true" outlineLevel="0" collapsed="false">
      <c r="B292" s="351" t="n">
        <v>45964</v>
      </c>
      <c r="C292" s="333" t="s">
        <v>611</v>
      </c>
      <c r="D292" s="352" t="s">
        <v>313</v>
      </c>
      <c r="E292" s="352" t="s">
        <v>612</v>
      </c>
      <c r="F292" s="353" t="n">
        <v>1000</v>
      </c>
      <c r="G292" s="354" t="s">
        <v>196</v>
      </c>
      <c r="H292" s="355" t="n">
        <v>45962</v>
      </c>
      <c r="J292" s="105" t="s">
        <v>34</v>
      </c>
      <c r="K292" s="106"/>
      <c r="L292" s="107" t="n">
        <v>9666.01</v>
      </c>
      <c r="M292" s="107" t="n">
        <v>19175.97</v>
      </c>
      <c r="N292" s="107" t="n">
        <v>19900</v>
      </c>
      <c r="O292" s="111" t="n">
        <f aca="false">M292-N292</f>
        <v>-724.029999999999</v>
      </c>
      <c r="P292" s="109" t="n">
        <f aca="false">L292+O292</f>
        <v>8941.98</v>
      </c>
    </row>
    <row r="293" customFormat="false" ht="15" hidden="true" customHeight="true" outlineLevel="0" collapsed="false">
      <c r="B293" s="356" t="n">
        <v>45964</v>
      </c>
      <c r="C293" s="332" t="s">
        <v>611</v>
      </c>
      <c r="D293" s="357" t="s">
        <v>585</v>
      </c>
      <c r="E293" s="357" t="s">
        <v>226</v>
      </c>
      <c r="F293" s="358" t="n">
        <v>282</v>
      </c>
      <c r="G293" s="359" t="s">
        <v>196</v>
      </c>
      <c r="H293" s="360" t="n">
        <v>45962</v>
      </c>
      <c r="J293" s="95" t="s">
        <v>38</v>
      </c>
      <c r="K293" s="96"/>
      <c r="L293" s="97" t="n">
        <f aca="false">L234</f>
        <v>8941.98</v>
      </c>
      <c r="M293" s="97" t="n">
        <f aca="false">M234</f>
        <v>21491.14</v>
      </c>
      <c r="N293" s="97" t="n">
        <f aca="false">N234</f>
        <v>17732.12</v>
      </c>
      <c r="O293" s="112" t="n">
        <f aca="false">M293-N293</f>
        <v>3759.02</v>
      </c>
      <c r="P293" s="113" t="n">
        <f aca="false">L293+O293</f>
        <v>12701</v>
      </c>
    </row>
    <row r="294" customFormat="false" ht="15" hidden="true" customHeight="true" outlineLevel="0" collapsed="false">
      <c r="B294" s="361" t="n">
        <v>45964</v>
      </c>
      <c r="C294" s="330" t="s">
        <v>611</v>
      </c>
      <c r="D294" s="362" t="s">
        <v>589</v>
      </c>
      <c r="E294" s="362" t="s">
        <v>518</v>
      </c>
      <c r="F294" s="363" t="n">
        <v>235</v>
      </c>
      <c r="G294" s="364" t="s">
        <v>196</v>
      </c>
      <c r="H294" s="365" t="n">
        <v>45962</v>
      </c>
      <c r="J294" s="105" t="s">
        <v>41</v>
      </c>
      <c r="K294" s="106"/>
      <c r="L294" s="107" t="n">
        <f aca="false">L235</f>
        <v>12701</v>
      </c>
      <c r="M294" s="107" t="n">
        <f aca="false">M235</f>
        <v>16824.3</v>
      </c>
      <c r="N294" s="107" t="n">
        <f aca="false">N235</f>
        <v>22872.97</v>
      </c>
      <c r="O294" s="331" t="n">
        <f aca="false">M294-N294</f>
        <v>-6048.67</v>
      </c>
      <c r="P294" s="107" t="n">
        <f aca="false">L294+O294</f>
        <v>6652.33</v>
      </c>
    </row>
    <row r="295" customFormat="false" ht="15" hidden="true" customHeight="true" outlineLevel="0" collapsed="false">
      <c r="B295" s="346" t="n">
        <v>45966</v>
      </c>
      <c r="C295" s="329" t="s">
        <v>610</v>
      </c>
      <c r="D295" s="347" t="s">
        <v>313</v>
      </c>
      <c r="E295" s="347" t="s">
        <v>613</v>
      </c>
      <c r="F295" s="348" t="n">
        <v>1500</v>
      </c>
      <c r="G295" s="349" t="s">
        <v>204</v>
      </c>
      <c r="H295" s="350" t="n">
        <v>45962</v>
      </c>
      <c r="J295" s="95" t="s">
        <v>43</v>
      </c>
      <c r="K295" s="96"/>
      <c r="L295" s="97" t="n">
        <f aca="false">L236</f>
        <v>6652.33</v>
      </c>
      <c r="M295" s="97" t="n">
        <f aca="false">M236</f>
        <v>23620.44</v>
      </c>
      <c r="N295" s="97" t="n">
        <f aca="false">N236</f>
        <v>19544.34</v>
      </c>
      <c r="O295" s="112" t="n">
        <f aca="false">M295-N295</f>
        <v>4076.1</v>
      </c>
      <c r="P295" s="113" t="n">
        <f aca="false">L295+O295</f>
        <v>10728.43</v>
      </c>
    </row>
    <row r="296" customFormat="false" ht="15" hidden="true" customHeight="true" outlineLevel="0" collapsed="false">
      <c r="B296" s="361" t="n">
        <v>45966</v>
      </c>
      <c r="C296" s="330" t="s">
        <v>610</v>
      </c>
      <c r="D296" s="362" t="s">
        <v>516</v>
      </c>
      <c r="E296" s="362" t="s">
        <v>275</v>
      </c>
      <c r="F296" s="363" t="n">
        <v>1925.41</v>
      </c>
      <c r="G296" s="364" t="s">
        <v>204</v>
      </c>
      <c r="H296" s="365" t="n">
        <v>45931</v>
      </c>
      <c r="J296" s="105" t="s">
        <v>44</v>
      </c>
      <c r="K296" s="106"/>
      <c r="L296" s="107" t="n">
        <f aca="false">L237</f>
        <v>10728.43</v>
      </c>
      <c r="M296" s="107" t="n">
        <f aca="false">M237</f>
        <v>26833.46</v>
      </c>
      <c r="N296" s="107" t="n">
        <f aca="false">N237</f>
        <v>26769.95</v>
      </c>
      <c r="O296" s="119" t="n">
        <f aca="false">M296-N296</f>
        <v>63.5099999999984</v>
      </c>
      <c r="P296" s="107" t="n">
        <f aca="false">L296+O296</f>
        <v>10791.94</v>
      </c>
    </row>
    <row r="297" customFormat="false" ht="15" hidden="true" customHeight="true" outlineLevel="0" collapsed="false">
      <c r="B297" s="356" t="n">
        <v>45966</v>
      </c>
      <c r="C297" s="332" t="s">
        <v>610</v>
      </c>
      <c r="D297" s="357" t="s">
        <v>513</v>
      </c>
      <c r="E297" s="357" t="s">
        <v>514</v>
      </c>
      <c r="F297" s="358" t="n">
        <v>1249.16</v>
      </c>
      <c r="G297" s="359" t="s">
        <v>196</v>
      </c>
      <c r="H297" s="360" t="n">
        <v>45962</v>
      </c>
      <c r="J297" s="95" t="s">
        <v>45</v>
      </c>
      <c r="K297" s="96"/>
      <c r="L297" s="97" t="n">
        <f aca="false">L238</f>
        <v>10791.94</v>
      </c>
      <c r="M297" s="97" t="n">
        <f aca="false">M238</f>
        <v>35481.27</v>
      </c>
      <c r="N297" s="97" t="n">
        <f aca="false">N238</f>
        <v>28392.23</v>
      </c>
      <c r="O297" s="112" t="n">
        <f aca="false">M297-N297</f>
        <v>7089.04</v>
      </c>
      <c r="P297" s="113" t="n">
        <f aca="false">L297+O297</f>
        <v>17880.98</v>
      </c>
    </row>
    <row r="298" customFormat="false" ht="15" hidden="true" customHeight="true" outlineLevel="0" collapsed="false">
      <c r="B298" s="361" t="n">
        <v>45966</v>
      </c>
      <c r="C298" s="330" t="s">
        <v>610</v>
      </c>
      <c r="D298" s="362" t="s">
        <v>589</v>
      </c>
      <c r="E298" s="362" t="s">
        <v>590</v>
      </c>
      <c r="F298" s="363" t="n">
        <v>190</v>
      </c>
      <c r="G298" s="364" t="s">
        <v>196</v>
      </c>
      <c r="H298" s="365" t="n">
        <v>45962</v>
      </c>
      <c r="J298" s="105" t="s">
        <v>46</v>
      </c>
      <c r="K298" s="106"/>
      <c r="L298" s="107" t="n">
        <f aca="false">L239</f>
        <v>17880.98</v>
      </c>
      <c r="M298" s="107" t="n">
        <f aca="false">M239</f>
        <v>31968.23</v>
      </c>
      <c r="N298" s="107" t="n">
        <f aca="false">N239</f>
        <v>36518.54</v>
      </c>
      <c r="O298" s="331" t="n">
        <f aca="false">M298-N298</f>
        <v>-4550.31</v>
      </c>
      <c r="P298" s="107" t="n">
        <f aca="false">L298+O298</f>
        <v>13330.67</v>
      </c>
    </row>
    <row r="299" customFormat="false" ht="15" hidden="true" customHeight="true" outlineLevel="0" collapsed="false">
      <c r="B299" s="346" t="n">
        <v>45967</v>
      </c>
      <c r="C299" s="329" t="s">
        <v>611</v>
      </c>
      <c r="D299" s="347" t="s">
        <v>313</v>
      </c>
      <c r="E299" s="347" t="s">
        <v>601</v>
      </c>
      <c r="F299" s="348" t="n">
        <v>2000</v>
      </c>
      <c r="G299" s="349" t="s">
        <v>204</v>
      </c>
      <c r="H299" s="350" t="n">
        <v>45931</v>
      </c>
      <c r="J299" s="95" t="s">
        <v>47</v>
      </c>
      <c r="K299" s="96"/>
      <c r="L299" s="99" t="n">
        <f aca="false">P298</f>
        <v>13330.67</v>
      </c>
      <c r="M299" s="99" t="n">
        <f aca="false">M303</f>
        <v>24860</v>
      </c>
      <c r="N299" s="99" t="n">
        <f aca="false">M306</f>
        <v>25339.65</v>
      </c>
      <c r="O299" s="125" t="n">
        <f aca="false">M299-N299</f>
        <v>-479.650000000001</v>
      </c>
      <c r="P299" s="83" t="n">
        <f aca="false">L299+O299</f>
        <v>12851.02</v>
      </c>
    </row>
    <row r="300" customFormat="false" ht="15" hidden="true" customHeight="true" outlineLevel="0" collapsed="false">
      <c r="B300" s="361" t="n">
        <v>45967</v>
      </c>
      <c r="C300" s="330" t="s">
        <v>611</v>
      </c>
      <c r="D300" s="362" t="s">
        <v>516</v>
      </c>
      <c r="E300" s="362" t="s">
        <v>276</v>
      </c>
      <c r="F300" s="363" t="n">
        <v>16</v>
      </c>
      <c r="G300" s="364" t="s">
        <v>196</v>
      </c>
      <c r="H300" s="365" t="n">
        <v>45962</v>
      </c>
      <c r="J300" s="105" t="s">
        <v>48</v>
      </c>
      <c r="K300" s="106"/>
      <c r="L300" s="109"/>
      <c r="M300" s="109"/>
      <c r="N300" s="109"/>
      <c r="O300" s="108"/>
      <c r="P300" s="109"/>
    </row>
    <row r="301" customFormat="false" ht="15" hidden="true" customHeight="true" outlineLevel="0" collapsed="false">
      <c r="B301" s="356" t="n">
        <v>45967</v>
      </c>
      <c r="C301" s="332" t="s">
        <v>610</v>
      </c>
      <c r="D301" s="357" t="s">
        <v>585</v>
      </c>
      <c r="E301" s="357" t="s">
        <v>614</v>
      </c>
      <c r="F301" s="358" t="n">
        <f aca="false">200+300</f>
        <v>500</v>
      </c>
      <c r="G301" s="359" t="s">
        <v>196</v>
      </c>
      <c r="H301" s="360" t="n">
        <v>45962</v>
      </c>
    </row>
    <row r="302" customFormat="false" ht="15" hidden="true" customHeight="true" outlineLevel="0" collapsed="false">
      <c r="B302" s="361" t="n">
        <v>45968</v>
      </c>
      <c r="C302" s="330" t="s">
        <v>611</v>
      </c>
      <c r="D302" s="362" t="s">
        <v>589</v>
      </c>
      <c r="E302" s="362" t="s">
        <v>604</v>
      </c>
      <c r="F302" s="363" t="n">
        <v>166.1</v>
      </c>
      <c r="G302" s="364" t="s">
        <v>196</v>
      </c>
      <c r="H302" s="365" t="n">
        <v>45962</v>
      </c>
      <c r="J302" s="367" t="s">
        <v>270</v>
      </c>
      <c r="K302" s="128"/>
      <c r="L302" s="128"/>
      <c r="M302" s="128"/>
    </row>
    <row r="303" customFormat="false" ht="15" hidden="true" customHeight="true" outlineLevel="0" collapsed="false">
      <c r="B303" s="356" t="n">
        <v>45971</v>
      </c>
      <c r="C303" s="332" t="s">
        <v>610</v>
      </c>
      <c r="D303" s="357" t="s">
        <v>516</v>
      </c>
      <c r="E303" s="357" t="s">
        <v>278</v>
      </c>
      <c r="F303" s="358" t="n">
        <f aca="false">122.29+39.99+86.94</f>
        <v>249.22</v>
      </c>
      <c r="G303" s="359" t="s">
        <v>204</v>
      </c>
      <c r="H303" s="360" t="n">
        <v>45962</v>
      </c>
      <c r="J303" s="87" t="s">
        <v>271</v>
      </c>
      <c r="K303" s="126"/>
      <c r="L303" s="126"/>
      <c r="M303" s="127" t="n">
        <f aca="false">SUM(M304:M305)</f>
        <v>24860</v>
      </c>
    </row>
    <row r="304" customFormat="false" ht="15" hidden="true" customHeight="true" outlineLevel="0" collapsed="false">
      <c r="B304" s="351" t="n">
        <v>45972</v>
      </c>
      <c r="C304" s="333" t="s">
        <v>610</v>
      </c>
      <c r="D304" s="352" t="s">
        <v>313</v>
      </c>
      <c r="E304" s="352" t="s">
        <v>75</v>
      </c>
      <c r="F304" s="353" t="n">
        <v>2500</v>
      </c>
      <c r="G304" s="354" t="s">
        <v>204</v>
      </c>
      <c r="H304" s="355" t="n">
        <v>45931</v>
      </c>
      <c r="J304" s="96" t="s">
        <v>272</v>
      </c>
      <c r="K304" s="96"/>
      <c r="L304" s="96"/>
      <c r="M304" s="99" t="n">
        <f aca="false">SUM(F291,F292,F295,F299,F304,F309,F312,F320,F306,F325,F326,F327,F360,F361)</f>
        <v>23660</v>
      </c>
    </row>
    <row r="305" customFormat="false" ht="15" hidden="true" customHeight="true" outlineLevel="0" collapsed="false">
      <c r="B305" s="346" t="n">
        <v>45973</v>
      </c>
      <c r="C305" s="329" t="s">
        <v>610</v>
      </c>
      <c r="D305" s="347" t="s">
        <v>534</v>
      </c>
      <c r="E305" s="347" t="s">
        <v>615</v>
      </c>
      <c r="F305" s="348" t="n">
        <v>600</v>
      </c>
      <c r="G305" s="349" t="s">
        <v>196</v>
      </c>
      <c r="H305" s="350" t="n">
        <v>45962</v>
      </c>
      <c r="J305" s="96" t="s">
        <v>273</v>
      </c>
      <c r="K305" s="96"/>
      <c r="L305" s="96"/>
      <c r="M305" s="83" t="n">
        <f aca="false">SUM(F305,F313)</f>
        <v>1200</v>
      </c>
    </row>
    <row r="306" customFormat="false" ht="15" hidden="true" customHeight="true" outlineLevel="0" collapsed="false">
      <c r="B306" s="351" t="n">
        <v>45974</v>
      </c>
      <c r="C306" s="333" t="s">
        <v>610</v>
      </c>
      <c r="D306" s="352" t="s">
        <v>313</v>
      </c>
      <c r="E306" s="352" t="s">
        <v>564</v>
      </c>
      <c r="F306" s="353" t="n">
        <v>1500</v>
      </c>
      <c r="G306" s="354" t="s">
        <v>196</v>
      </c>
      <c r="H306" s="355" t="n">
        <v>45931</v>
      </c>
      <c r="J306" s="87" t="s">
        <v>274</v>
      </c>
      <c r="K306" s="126"/>
      <c r="L306" s="126"/>
      <c r="M306" s="127" t="n">
        <f aca="false">SUM(M307:M316)</f>
        <v>25339.65</v>
      </c>
    </row>
    <row r="307" customFormat="false" ht="15" hidden="true" customHeight="true" outlineLevel="0" collapsed="false">
      <c r="B307" s="356" t="n">
        <v>45974</v>
      </c>
      <c r="C307" s="332" t="s">
        <v>610</v>
      </c>
      <c r="D307" s="357" t="s">
        <v>519</v>
      </c>
      <c r="E307" s="357" t="s">
        <v>616</v>
      </c>
      <c r="F307" s="358" t="n">
        <v>400</v>
      </c>
      <c r="G307" s="359" t="s">
        <v>196</v>
      </c>
      <c r="H307" s="360" t="n">
        <v>45962</v>
      </c>
      <c r="J307" s="96" t="s">
        <v>275</v>
      </c>
      <c r="K307" s="96"/>
      <c r="L307" s="96"/>
      <c r="M307" s="99" t="n">
        <f aca="false">SUM(F296)</f>
        <v>1925.41</v>
      </c>
    </row>
    <row r="308" customFormat="false" ht="15" hidden="true" customHeight="true" outlineLevel="0" collapsed="false">
      <c r="B308" s="361" t="n">
        <v>45974</v>
      </c>
      <c r="C308" s="330" t="s">
        <v>610</v>
      </c>
      <c r="D308" s="362" t="s">
        <v>585</v>
      </c>
      <c r="E308" s="362" t="s">
        <v>551</v>
      </c>
      <c r="F308" s="363" t="n">
        <v>2500</v>
      </c>
      <c r="G308" s="364" t="s">
        <v>196</v>
      </c>
      <c r="H308" s="365" t="n">
        <v>45962</v>
      </c>
      <c r="J308" s="96" t="s">
        <v>276</v>
      </c>
      <c r="K308" s="96"/>
      <c r="L308" s="96"/>
      <c r="M308" s="99" t="n">
        <f aca="false">SUM(F300,F310)</f>
        <v>48</v>
      </c>
    </row>
    <row r="309" customFormat="false" ht="15" hidden="true" customHeight="true" outlineLevel="0" collapsed="false">
      <c r="B309" s="346" t="n">
        <v>45974</v>
      </c>
      <c r="C309" s="329" t="s">
        <v>611</v>
      </c>
      <c r="D309" s="347" t="s">
        <v>313</v>
      </c>
      <c r="E309" s="347" t="s">
        <v>182</v>
      </c>
      <c r="F309" s="348" t="n">
        <v>1500</v>
      </c>
      <c r="G309" s="349" t="s">
        <v>196</v>
      </c>
      <c r="H309" s="350" t="n">
        <v>45962</v>
      </c>
      <c r="J309" s="96" t="s">
        <v>277</v>
      </c>
      <c r="K309" s="96"/>
      <c r="L309" s="96"/>
      <c r="M309" s="99"/>
    </row>
    <row r="310" customFormat="false" ht="15" hidden="true" customHeight="true" outlineLevel="0" collapsed="false">
      <c r="B310" s="361" t="n">
        <v>45978</v>
      </c>
      <c r="C310" s="330" t="s">
        <v>610</v>
      </c>
      <c r="D310" s="362" t="s">
        <v>516</v>
      </c>
      <c r="E310" s="362" t="s">
        <v>276</v>
      </c>
      <c r="F310" s="363" t="n">
        <v>32</v>
      </c>
      <c r="G310" s="364" t="s">
        <v>196</v>
      </c>
      <c r="H310" s="365" t="n">
        <v>45962</v>
      </c>
      <c r="J310" s="96" t="s">
        <v>278</v>
      </c>
      <c r="K310" s="96"/>
      <c r="L310" s="96"/>
      <c r="M310" s="99" t="n">
        <f aca="false">SUM(F303)</f>
        <v>249.22</v>
      </c>
    </row>
    <row r="311" customFormat="false" ht="15" hidden="true" customHeight="true" outlineLevel="0" collapsed="false">
      <c r="B311" s="356" t="n">
        <v>45978</v>
      </c>
      <c r="C311" s="332" t="s">
        <v>610</v>
      </c>
      <c r="D311" s="357" t="s">
        <v>589</v>
      </c>
      <c r="E311" s="357" t="s">
        <v>518</v>
      </c>
      <c r="F311" s="358" t="n">
        <v>235</v>
      </c>
      <c r="G311" s="359" t="s">
        <v>196</v>
      </c>
      <c r="H311" s="360" t="n">
        <v>45962</v>
      </c>
      <c r="J311" s="96" t="s">
        <v>279</v>
      </c>
      <c r="K311" s="96"/>
      <c r="L311" s="96"/>
      <c r="M311" s="99" t="n">
        <f aca="false">SUM(F294,F298,F302,F311,F322,F324)</f>
        <v>1256.1</v>
      </c>
    </row>
    <row r="312" customFormat="false" ht="15" hidden="true" customHeight="true" outlineLevel="0" collapsed="false">
      <c r="B312" s="351" t="n">
        <v>45979</v>
      </c>
      <c r="C312" s="333" t="s">
        <v>611</v>
      </c>
      <c r="D312" s="352" t="s">
        <v>313</v>
      </c>
      <c r="E312" s="352" t="s">
        <v>183</v>
      </c>
      <c r="F312" s="353" t="n">
        <v>600</v>
      </c>
      <c r="G312" s="354" t="s">
        <v>196</v>
      </c>
      <c r="H312" s="355" t="n">
        <v>45962</v>
      </c>
      <c r="J312" s="96" t="s">
        <v>280</v>
      </c>
      <c r="K312" s="96"/>
      <c r="L312" s="96"/>
      <c r="M312" s="99" t="n">
        <f aca="false">SUM(F319)</f>
        <v>1634.86</v>
      </c>
    </row>
    <row r="313" customFormat="false" ht="15" hidden="true" customHeight="true" outlineLevel="0" collapsed="false">
      <c r="B313" s="346" t="n">
        <v>45979</v>
      </c>
      <c r="C313" s="329" t="s">
        <v>610</v>
      </c>
      <c r="D313" s="347" t="s">
        <v>534</v>
      </c>
      <c r="E313" s="376" t="s">
        <v>617</v>
      </c>
      <c r="F313" s="348" t="n">
        <v>600</v>
      </c>
      <c r="G313" s="349" t="s">
        <v>196</v>
      </c>
      <c r="H313" s="350" t="n">
        <v>45962</v>
      </c>
      <c r="J313" s="96" t="s">
        <v>281</v>
      </c>
      <c r="K313" s="96"/>
      <c r="L313" s="96"/>
      <c r="M313" s="99" t="n">
        <f aca="false">SUM(F297)</f>
        <v>1249.16</v>
      </c>
    </row>
    <row r="314" customFormat="false" ht="15" hidden="true" customHeight="true" outlineLevel="0" collapsed="false">
      <c r="B314" s="361" t="n">
        <v>45980</v>
      </c>
      <c r="C314" s="330" t="s">
        <v>611</v>
      </c>
      <c r="D314" s="362" t="s">
        <v>519</v>
      </c>
      <c r="E314" s="362" t="s">
        <v>618</v>
      </c>
      <c r="F314" s="363" t="n">
        <v>400</v>
      </c>
      <c r="G314" s="364" t="s">
        <v>196</v>
      </c>
      <c r="H314" s="365" t="n">
        <v>45962</v>
      </c>
      <c r="J314" s="96" t="s">
        <v>282</v>
      </c>
      <c r="K314" s="96"/>
      <c r="L314" s="96"/>
      <c r="M314" s="99" t="n">
        <f aca="false">SUM(F293,F301,F308,F315,F316,F317,F318,F321,F323,F328)</f>
        <v>18176.9</v>
      </c>
    </row>
    <row r="315" customFormat="false" ht="15" hidden="true" customHeight="true" outlineLevel="0" collapsed="false">
      <c r="B315" s="356" t="n">
        <v>45982</v>
      </c>
      <c r="C315" s="332" t="s">
        <v>611</v>
      </c>
      <c r="D315" s="357" t="s">
        <v>585</v>
      </c>
      <c r="E315" s="357" t="s">
        <v>559</v>
      </c>
      <c r="F315" s="358" t="n">
        <v>1834</v>
      </c>
      <c r="G315" s="359" t="s">
        <v>196</v>
      </c>
      <c r="H315" s="360" t="n">
        <v>45962</v>
      </c>
      <c r="J315" s="96" t="s">
        <v>283</v>
      </c>
      <c r="K315" s="96"/>
      <c r="L315" s="96"/>
      <c r="M315" s="99"/>
    </row>
    <row r="316" customFormat="false" ht="15" hidden="true" customHeight="true" outlineLevel="0" collapsed="false">
      <c r="B316" s="361" t="n">
        <v>45982</v>
      </c>
      <c r="C316" s="330" t="s">
        <v>610</v>
      </c>
      <c r="D316" s="362" t="s">
        <v>585</v>
      </c>
      <c r="E316" s="362" t="s">
        <v>522</v>
      </c>
      <c r="F316" s="363" t="n">
        <v>2500</v>
      </c>
      <c r="G316" s="364" t="s">
        <v>196</v>
      </c>
      <c r="H316" s="365" t="n">
        <v>45962</v>
      </c>
      <c r="J316" s="96" t="s">
        <v>284</v>
      </c>
      <c r="K316" s="96"/>
      <c r="L316" s="96"/>
      <c r="M316" s="99" t="n">
        <f aca="false">SUM(F307,F314)</f>
        <v>800</v>
      </c>
    </row>
    <row r="317" customFormat="false" ht="15" hidden="true" customHeight="true" outlineLevel="0" collapsed="false">
      <c r="B317" s="356" t="n">
        <v>45982</v>
      </c>
      <c r="C317" s="332" t="s">
        <v>610</v>
      </c>
      <c r="D317" s="357" t="s">
        <v>585</v>
      </c>
      <c r="E317" s="357" t="s">
        <v>521</v>
      </c>
      <c r="F317" s="358" t="n">
        <v>3446</v>
      </c>
      <c r="G317" s="359" t="s">
        <v>196</v>
      </c>
      <c r="H317" s="360" t="n">
        <v>45962</v>
      </c>
    </row>
    <row r="318" customFormat="false" ht="15" hidden="true" customHeight="true" outlineLevel="0" collapsed="false">
      <c r="B318" s="361" t="n">
        <v>45982</v>
      </c>
      <c r="C318" s="330" t="s">
        <v>611</v>
      </c>
      <c r="D318" s="362" t="s">
        <v>585</v>
      </c>
      <c r="E318" s="362" t="s">
        <v>567</v>
      </c>
      <c r="F318" s="363" t="n">
        <v>1834</v>
      </c>
      <c r="G318" s="364" t="s">
        <v>196</v>
      </c>
      <c r="H318" s="365" t="n">
        <v>45962</v>
      </c>
    </row>
    <row r="319" customFormat="false" ht="15" hidden="true" customHeight="true" outlineLevel="0" collapsed="false">
      <c r="B319" s="356" t="n">
        <v>45982</v>
      </c>
      <c r="C319" s="332" t="s">
        <v>610</v>
      </c>
      <c r="D319" s="357" t="s">
        <v>592</v>
      </c>
      <c r="E319" s="357" t="s">
        <v>515</v>
      </c>
      <c r="F319" s="358" t="n">
        <v>1634.86</v>
      </c>
      <c r="G319" s="359" t="s">
        <v>204</v>
      </c>
      <c r="H319" s="360" t="n">
        <v>45931</v>
      </c>
    </row>
    <row r="320" customFormat="false" ht="15" hidden="true" customHeight="true" outlineLevel="0" collapsed="false">
      <c r="B320" s="351" t="n">
        <v>45985</v>
      </c>
      <c r="C320" s="333" t="s">
        <v>610</v>
      </c>
      <c r="D320" s="352" t="s">
        <v>313</v>
      </c>
      <c r="E320" s="352" t="s">
        <v>76</v>
      </c>
      <c r="F320" s="353" t="n">
        <v>750</v>
      </c>
      <c r="G320" s="354" t="s">
        <v>204</v>
      </c>
      <c r="H320" s="355" t="n">
        <v>45962</v>
      </c>
    </row>
    <row r="321" customFormat="false" ht="15" hidden="true" customHeight="true" outlineLevel="0" collapsed="false">
      <c r="B321" s="356" t="n">
        <v>45985</v>
      </c>
      <c r="C321" s="332" t="s">
        <v>610</v>
      </c>
      <c r="D321" s="357" t="s">
        <v>585</v>
      </c>
      <c r="E321" s="357" t="s">
        <v>595</v>
      </c>
      <c r="F321" s="358" t="n">
        <v>1500</v>
      </c>
      <c r="G321" s="359" t="s">
        <v>196</v>
      </c>
      <c r="H321" s="360" t="n">
        <v>45962</v>
      </c>
    </row>
    <row r="322" customFormat="false" ht="15" hidden="true" customHeight="true" outlineLevel="0" collapsed="false">
      <c r="B322" s="361" t="n">
        <v>45985</v>
      </c>
      <c r="C322" s="330" t="s">
        <v>610</v>
      </c>
      <c r="D322" s="362" t="s">
        <v>589</v>
      </c>
      <c r="E322" s="362" t="s">
        <v>594</v>
      </c>
      <c r="F322" s="363" t="n">
        <v>345</v>
      </c>
      <c r="G322" s="364" t="s">
        <v>196</v>
      </c>
      <c r="H322" s="365" t="n">
        <v>45962</v>
      </c>
    </row>
    <row r="323" customFormat="false" ht="15" hidden="true" customHeight="true" outlineLevel="0" collapsed="false">
      <c r="B323" s="356" t="n">
        <v>45986</v>
      </c>
      <c r="C323" s="332" t="s">
        <v>610</v>
      </c>
      <c r="D323" s="357" t="s">
        <v>585</v>
      </c>
      <c r="E323" s="357" t="s">
        <v>532</v>
      </c>
      <c r="F323" s="358" t="n">
        <v>2280.9</v>
      </c>
      <c r="G323" s="359" t="s">
        <v>196</v>
      </c>
      <c r="H323" s="360" t="n">
        <v>45962</v>
      </c>
    </row>
    <row r="324" customFormat="false" ht="15" hidden="true" customHeight="true" outlineLevel="0" collapsed="false">
      <c r="B324" s="361" t="n">
        <v>45986</v>
      </c>
      <c r="C324" s="330" t="s">
        <v>610</v>
      </c>
      <c r="D324" s="362" t="s">
        <v>589</v>
      </c>
      <c r="E324" s="362" t="s">
        <v>619</v>
      </c>
      <c r="F324" s="363" t="n">
        <v>85</v>
      </c>
      <c r="G324" s="364" t="s">
        <v>196</v>
      </c>
      <c r="H324" s="365" t="n">
        <v>45962</v>
      </c>
    </row>
    <row r="325" customFormat="false" ht="15" hidden="true" customHeight="true" outlineLevel="0" collapsed="false">
      <c r="B325" s="346" t="n">
        <v>45989</v>
      </c>
      <c r="C325" s="329" t="s">
        <v>610</v>
      </c>
      <c r="D325" s="347" t="s">
        <v>313</v>
      </c>
      <c r="E325" s="347" t="s">
        <v>65</v>
      </c>
      <c r="F325" s="348" t="n">
        <v>5000</v>
      </c>
      <c r="G325" s="349" t="s">
        <v>196</v>
      </c>
      <c r="H325" s="350" t="n">
        <v>45962</v>
      </c>
    </row>
    <row r="326" customFormat="false" ht="15" hidden="true" customHeight="true" outlineLevel="0" collapsed="false">
      <c r="B326" s="351" t="n">
        <v>45989</v>
      </c>
      <c r="C326" s="333" t="s">
        <v>610</v>
      </c>
      <c r="D326" s="352" t="s">
        <v>313</v>
      </c>
      <c r="E326" s="352" t="s">
        <v>609</v>
      </c>
      <c r="F326" s="353" t="n">
        <v>1700</v>
      </c>
      <c r="G326" s="354" t="s">
        <v>196</v>
      </c>
      <c r="H326" s="355" t="n">
        <v>45962</v>
      </c>
    </row>
    <row r="327" customFormat="false" ht="15" hidden="true" customHeight="true" outlineLevel="0" collapsed="false">
      <c r="B327" s="346" t="n">
        <v>45989</v>
      </c>
      <c r="C327" s="329" t="s">
        <v>610</v>
      </c>
      <c r="D327" s="347" t="s">
        <v>313</v>
      </c>
      <c r="E327" s="347" t="s">
        <v>597</v>
      </c>
      <c r="F327" s="348" t="n">
        <v>1360</v>
      </c>
      <c r="G327" s="349" t="s">
        <v>196</v>
      </c>
      <c r="H327" s="350" t="n">
        <v>45962</v>
      </c>
    </row>
    <row r="328" customFormat="false" ht="15" hidden="true" customHeight="true" outlineLevel="0" collapsed="false">
      <c r="B328" s="361" t="n">
        <v>45989</v>
      </c>
      <c r="C328" s="330" t="s">
        <v>611</v>
      </c>
      <c r="D328" s="362" t="s">
        <v>585</v>
      </c>
      <c r="E328" s="362" t="s">
        <v>596</v>
      </c>
      <c r="F328" s="363" t="n">
        <v>1500</v>
      </c>
      <c r="G328" s="364" t="s">
        <v>196</v>
      </c>
      <c r="H328" s="365" t="n">
        <v>45962</v>
      </c>
    </row>
    <row r="329" customFormat="false" ht="15" hidden="false" customHeight="true" outlineLevel="0" collapsed="false">
      <c r="B329" s="377" t="n">
        <v>45992</v>
      </c>
      <c r="C329" s="329" t="s">
        <v>620</v>
      </c>
      <c r="D329" s="347" t="s">
        <v>313</v>
      </c>
      <c r="E329" s="347" t="s">
        <v>542</v>
      </c>
      <c r="F329" s="348" t="n">
        <v>1250</v>
      </c>
      <c r="G329" s="349" t="s">
        <v>204</v>
      </c>
      <c r="H329" s="350" t="n">
        <v>45962</v>
      </c>
      <c r="J329" s="95" t="s">
        <v>31</v>
      </c>
      <c r="K329" s="96"/>
      <c r="L329" s="97" t="n">
        <v>13293.32</v>
      </c>
      <c r="M329" s="97" t="n">
        <v>16900</v>
      </c>
      <c r="N329" s="97" t="n">
        <v>20527.31</v>
      </c>
      <c r="O329" s="110" t="n">
        <f aca="false">M329-N329</f>
        <v>-3627.31</v>
      </c>
      <c r="P329" s="99" t="n">
        <f aca="false">L329+O329</f>
        <v>9666.01</v>
      </c>
    </row>
    <row r="330" customFormat="false" ht="15" hidden="false" customHeight="true" outlineLevel="0" collapsed="false">
      <c r="B330" s="378" t="n">
        <v>45992</v>
      </c>
      <c r="C330" s="333" t="s">
        <v>620</v>
      </c>
      <c r="D330" s="352" t="s">
        <v>313</v>
      </c>
      <c r="E330" s="352" t="s">
        <v>560</v>
      </c>
      <c r="F330" s="353" t="n">
        <v>2000</v>
      </c>
      <c r="G330" s="354" t="s">
        <v>204</v>
      </c>
      <c r="H330" s="355" t="n">
        <v>45962</v>
      </c>
      <c r="J330" s="105" t="s">
        <v>34</v>
      </c>
      <c r="K330" s="106"/>
      <c r="L330" s="107" t="n">
        <v>9666.01</v>
      </c>
      <c r="M330" s="107" t="n">
        <v>19175.97</v>
      </c>
      <c r="N330" s="107" t="n">
        <v>19900</v>
      </c>
      <c r="O330" s="111" t="n">
        <f aca="false">M330-N330</f>
        <v>-724.029999999999</v>
      </c>
      <c r="P330" s="109" t="n">
        <f aca="false">L330+O330</f>
        <v>8941.98</v>
      </c>
    </row>
    <row r="331" customFormat="false" ht="15" hidden="false" customHeight="true" outlineLevel="0" collapsed="false">
      <c r="B331" s="379" t="n">
        <v>45992</v>
      </c>
      <c r="C331" s="332" t="s">
        <v>620</v>
      </c>
      <c r="D331" s="357" t="s">
        <v>585</v>
      </c>
      <c r="E331" s="357" t="s">
        <v>375</v>
      </c>
      <c r="F331" s="358" t="n">
        <v>31.2</v>
      </c>
      <c r="G331" s="359" t="s">
        <v>196</v>
      </c>
      <c r="H331" s="360" t="n">
        <v>45992</v>
      </c>
      <c r="J331" s="95" t="s">
        <v>38</v>
      </c>
      <c r="K331" s="96"/>
      <c r="L331" s="97" t="n">
        <f aca="false">L293</f>
        <v>8941.98</v>
      </c>
      <c r="M331" s="97" t="n">
        <f aca="false">M293</f>
        <v>21491.14</v>
      </c>
      <c r="N331" s="97" t="n">
        <f aca="false">N293</f>
        <v>17732.12</v>
      </c>
      <c r="O331" s="112" t="n">
        <f aca="false">M331-N331</f>
        <v>3759.02</v>
      </c>
      <c r="P331" s="113" t="n">
        <f aca="false">L331+O331</f>
        <v>12701</v>
      </c>
    </row>
    <row r="332" customFormat="false" ht="15" hidden="false" customHeight="true" outlineLevel="0" collapsed="false">
      <c r="B332" s="380" t="n">
        <v>45992</v>
      </c>
      <c r="C332" s="330" t="s">
        <v>620</v>
      </c>
      <c r="D332" s="362" t="s">
        <v>585</v>
      </c>
      <c r="E332" s="362" t="s">
        <v>226</v>
      </c>
      <c r="F332" s="363" t="n">
        <v>141</v>
      </c>
      <c r="G332" s="364" t="s">
        <v>196</v>
      </c>
      <c r="H332" s="365" t="n">
        <v>45992</v>
      </c>
      <c r="J332" s="105" t="s">
        <v>41</v>
      </c>
      <c r="K332" s="106"/>
      <c r="L332" s="107" t="n">
        <f aca="false">L294</f>
        <v>12701</v>
      </c>
      <c r="M332" s="107" t="n">
        <f aca="false">M294</f>
        <v>16824.3</v>
      </c>
      <c r="N332" s="107" t="n">
        <f aca="false">N294</f>
        <v>22872.97</v>
      </c>
      <c r="O332" s="331" t="n">
        <f aca="false">M332-N332</f>
        <v>-6048.67</v>
      </c>
      <c r="P332" s="107" t="n">
        <f aca="false">L332+O332</f>
        <v>6652.33</v>
      </c>
    </row>
    <row r="333" customFormat="false" ht="15" hidden="false" customHeight="true" outlineLevel="0" collapsed="false">
      <c r="B333" s="377" t="n">
        <v>45992</v>
      </c>
      <c r="C333" s="329" t="s">
        <v>620</v>
      </c>
      <c r="D333" s="347" t="s">
        <v>313</v>
      </c>
      <c r="E333" s="347" t="s">
        <v>205</v>
      </c>
      <c r="F333" s="348" t="n">
        <v>600</v>
      </c>
      <c r="G333" s="349" t="s">
        <v>196</v>
      </c>
      <c r="H333" s="350" t="n">
        <v>45962</v>
      </c>
      <c r="J333" s="95" t="s">
        <v>43</v>
      </c>
      <c r="K333" s="96"/>
      <c r="L333" s="97" t="n">
        <f aca="false">L295</f>
        <v>6652.33</v>
      </c>
      <c r="M333" s="97" t="n">
        <f aca="false">M295</f>
        <v>23620.44</v>
      </c>
      <c r="N333" s="97" t="n">
        <f aca="false">N295</f>
        <v>19544.34</v>
      </c>
      <c r="O333" s="112" t="n">
        <f aca="false">M333-N333</f>
        <v>4076.1</v>
      </c>
      <c r="P333" s="113" t="n">
        <f aca="false">L333+O333</f>
        <v>10728.43</v>
      </c>
    </row>
    <row r="334" customFormat="false" ht="15" hidden="false" customHeight="true" outlineLevel="0" collapsed="false">
      <c r="B334" s="380" t="n">
        <v>45992</v>
      </c>
      <c r="C334" s="330" t="s">
        <v>620</v>
      </c>
      <c r="D334" s="362" t="s">
        <v>589</v>
      </c>
      <c r="E334" s="362" t="s">
        <v>604</v>
      </c>
      <c r="F334" s="363" t="n">
        <v>82.2</v>
      </c>
      <c r="G334" s="364" t="s">
        <v>196</v>
      </c>
      <c r="H334" s="365" t="n">
        <v>45992</v>
      </c>
      <c r="J334" s="105" t="s">
        <v>44</v>
      </c>
      <c r="K334" s="106"/>
      <c r="L334" s="107" t="n">
        <f aca="false">L296</f>
        <v>10728.43</v>
      </c>
      <c r="M334" s="107" t="n">
        <f aca="false">M296</f>
        <v>26833.46</v>
      </c>
      <c r="N334" s="107" t="n">
        <f aca="false">N296</f>
        <v>26769.95</v>
      </c>
      <c r="O334" s="119" t="n">
        <f aca="false">M334-N334</f>
        <v>63.5099999999984</v>
      </c>
      <c r="P334" s="107" t="n">
        <f aca="false">L334+O334</f>
        <v>10791.94</v>
      </c>
    </row>
    <row r="335" customFormat="false" ht="15" hidden="false" customHeight="true" outlineLevel="0" collapsed="false">
      <c r="B335" s="379" t="n">
        <v>45992</v>
      </c>
      <c r="C335" s="332" t="s">
        <v>620</v>
      </c>
      <c r="D335" s="357" t="s">
        <v>589</v>
      </c>
      <c r="E335" s="357" t="s">
        <v>518</v>
      </c>
      <c r="F335" s="358" t="n">
        <v>235</v>
      </c>
      <c r="G335" s="359" t="s">
        <v>196</v>
      </c>
      <c r="H335" s="360" t="n">
        <v>45992</v>
      </c>
      <c r="J335" s="95" t="s">
        <v>45</v>
      </c>
      <c r="K335" s="96"/>
      <c r="L335" s="97" t="n">
        <f aca="false">L297</f>
        <v>10791.94</v>
      </c>
      <c r="M335" s="97" t="n">
        <f aca="false">M297</f>
        <v>35481.27</v>
      </c>
      <c r="N335" s="97" t="n">
        <f aca="false">N297</f>
        <v>28392.23</v>
      </c>
      <c r="O335" s="112" t="n">
        <f aca="false">M335-N335</f>
        <v>7089.04</v>
      </c>
      <c r="P335" s="113" t="n">
        <f aca="false">L335+O335</f>
        <v>17880.98</v>
      </c>
    </row>
    <row r="336" customFormat="false" ht="15" hidden="false" customHeight="true" outlineLevel="0" collapsed="false">
      <c r="B336" s="378" t="n">
        <v>45992</v>
      </c>
      <c r="C336" s="333" t="s">
        <v>620</v>
      </c>
      <c r="D336" s="352" t="s">
        <v>313</v>
      </c>
      <c r="E336" s="352" t="s">
        <v>510</v>
      </c>
      <c r="F336" s="353" t="n">
        <v>1917.89</v>
      </c>
      <c r="G336" s="354" t="s">
        <v>196</v>
      </c>
      <c r="H336" s="355" t="n">
        <v>45962</v>
      </c>
      <c r="J336" s="105" t="s">
        <v>46</v>
      </c>
      <c r="K336" s="106"/>
      <c r="L336" s="107" t="n">
        <f aca="false">L298</f>
        <v>17880.98</v>
      </c>
      <c r="M336" s="107" t="n">
        <f aca="false">M298</f>
        <v>31968.23</v>
      </c>
      <c r="N336" s="107" t="n">
        <f aca="false">N298</f>
        <v>36518.54</v>
      </c>
      <c r="O336" s="331" t="n">
        <f aca="false">M336-N336</f>
        <v>-4550.31</v>
      </c>
      <c r="P336" s="107" t="n">
        <f aca="false">L336+O336</f>
        <v>13330.67</v>
      </c>
    </row>
    <row r="337" customFormat="false" ht="15" hidden="false" customHeight="true" outlineLevel="0" collapsed="false">
      <c r="B337" s="379" t="n">
        <v>45992</v>
      </c>
      <c r="C337" s="332" t="s">
        <v>620</v>
      </c>
      <c r="D337" s="357" t="s">
        <v>519</v>
      </c>
      <c r="E337" s="357" t="s">
        <v>621</v>
      </c>
      <c r="F337" s="358" t="n">
        <v>264</v>
      </c>
      <c r="G337" s="359" t="s">
        <v>204</v>
      </c>
      <c r="H337" s="360" t="n">
        <v>45962</v>
      </c>
      <c r="J337" s="95" t="s">
        <v>47</v>
      </c>
      <c r="K337" s="96"/>
      <c r="L337" s="99" t="n">
        <f aca="false">L299</f>
        <v>13330.67</v>
      </c>
      <c r="M337" s="99" t="n">
        <f aca="false">M299</f>
        <v>24860</v>
      </c>
      <c r="N337" s="99" t="n">
        <f aca="false">N299</f>
        <v>25339.65</v>
      </c>
      <c r="O337" s="125" t="n">
        <f aca="false">M337-N337</f>
        <v>-479.650000000001</v>
      </c>
      <c r="P337" s="83" t="n">
        <f aca="false">L337+O337</f>
        <v>12851.02</v>
      </c>
    </row>
    <row r="338" customFormat="false" ht="15" hidden="false" customHeight="true" outlineLevel="0" collapsed="false">
      <c r="B338" s="378" t="n">
        <v>45993</v>
      </c>
      <c r="C338" s="333" t="s">
        <v>620</v>
      </c>
      <c r="D338" s="352" t="s">
        <v>313</v>
      </c>
      <c r="E338" s="352" t="s">
        <v>467</v>
      </c>
      <c r="F338" s="353" t="n">
        <v>1500</v>
      </c>
      <c r="G338" s="354" t="s">
        <v>196</v>
      </c>
      <c r="H338" s="355" t="n">
        <v>45931</v>
      </c>
      <c r="J338" s="105" t="s">
        <v>48</v>
      </c>
      <c r="K338" s="106"/>
      <c r="L338" s="109" t="n">
        <f aca="false">P337</f>
        <v>12851.02</v>
      </c>
      <c r="M338" s="109" t="n">
        <f aca="false">M341</f>
        <v>15481.89</v>
      </c>
      <c r="N338" s="109" t="n">
        <f aca="false">M344</f>
        <v>11080.37</v>
      </c>
      <c r="O338" s="108" t="n">
        <f aca="false">M338-N338</f>
        <v>4401.52</v>
      </c>
      <c r="P338" s="109" t="n">
        <f aca="false">L338+O338</f>
        <v>17252.54</v>
      </c>
    </row>
    <row r="339" customFormat="false" ht="15" hidden="false" customHeight="true" outlineLevel="0" collapsed="false">
      <c r="B339" s="377" t="n">
        <v>45994</v>
      </c>
      <c r="C339" s="329" t="s">
        <v>620</v>
      </c>
      <c r="D339" s="347" t="s">
        <v>313</v>
      </c>
      <c r="E339" s="347" t="s">
        <v>83</v>
      </c>
      <c r="F339" s="348" t="n">
        <v>800</v>
      </c>
      <c r="G339" s="349" t="s">
        <v>196</v>
      </c>
      <c r="H339" s="350" t="n">
        <v>45931</v>
      </c>
    </row>
    <row r="340" customFormat="false" ht="15" hidden="false" customHeight="true" outlineLevel="0" collapsed="false">
      <c r="B340" s="380" t="n">
        <v>45995</v>
      </c>
      <c r="C340" s="330" t="s">
        <v>620</v>
      </c>
      <c r="D340" s="362" t="s">
        <v>519</v>
      </c>
      <c r="E340" s="362" t="s">
        <v>622</v>
      </c>
      <c r="F340" s="363" t="n">
        <v>165.34</v>
      </c>
      <c r="G340" s="364" t="s">
        <v>196</v>
      </c>
      <c r="H340" s="365" t="n">
        <v>45992</v>
      </c>
      <c r="J340" s="367" t="s">
        <v>270</v>
      </c>
      <c r="K340" s="128"/>
      <c r="L340" s="128"/>
      <c r="M340" s="128"/>
    </row>
    <row r="341" customFormat="false" ht="15" hidden="false" customHeight="true" outlineLevel="0" collapsed="false">
      <c r="B341" s="379" t="n">
        <v>45995</v>
      </c>
      <c r="C341" s="332" t="s">
        <v>620</v>
      </c>
      <c r="D341" s="357" t="s">
        <v>585</v>
      </c>
      <c r="E341" s="357" t="s">
        <v>537</v>
      </c>
      <c r="F341" s="358" t="n">
        <v>516.25</v>
      </c>
      <c r="G341" s="359" t="s">
        <v>196</v>
      </c>
      <c r="H341" s="360" t="n">
        <v>45962</v>
      </c>
      <c r="J341" s="87" t="s">
        <v>271</v>
      </c>
      <c r="K341" s="126"/>
      <c r="L341" s="126"/>
      <c r="M341" s="127" t="n">
        <f aca="false">SUM(M342:M343)</f>
        <v>15481.89</v>
      </c>
    </row>
    <row r="342" customFormat="false" ht="15" hidden="false" customHeight="true" outlineLevel="0" collapsed="false">
      <c r="B342" s="380" t="n">
        <v>45995</v>
      </c>
      <c r="C342" s="330" t="s">
        <v>620</v>
      </c>
      <c r="D342" s="362" t="s">
        <v>519</v>
      </c>
      <c r="E342" s="362" t="s">
        <v>622</v>
      </c>
      <c r="F342" s="363" t="n">
        <v>441</v>
      </c>
      <c r="G342" s="364" t="s">
        <v>196</v>
      </c>
      <c r="H342" s="365" t="n">
        <v>45992</v>
      </c>
      <c r="J342" s="96" t="s">
        <v>272</v>
      </c>
      <c r="K342" s="96"/>
      <c r="L342" s="96"/>
      <c r="M342" s="99" t="n">
        <f aca="false">SUM(F329,F330,F333,F336,F338,F339,F351,F352,F354)</f>
        <v>15481.89</v>
      </c>
    </row>
    <row r="343" customFormat="false" ht="15" hidden="false" customHeight="true" outlineLevel="0" collapsed="false">
      <c r="B343" s="379" t="n">
        <v>45995</v>
      </c>
      <c r="C343" s="332" t="s">
        <v>620</v>
      </c>
      <c r="D343" s="357" t="s">
        <v>519</v>
      </c>
      <c r="E343" s="357" t="s">
        <v>622</v>
      </c>
      <c r="F343" s="358" t="n">
        <v>77.5</v>
      </c>
      <c r="G343" s="359" t="s">
        <v>196</v>
      </c>
      <c r="H343" s="360" t="n">
        <v>45992</v>
      </c>
      <c r="J343" s="96" t="s">
        <v>273</v>
      </c>
      <c r="K343" s="96"/>
      <c r="L343" s="96"/>
      <c r="M343" s="83"/>
    </row>
    <row r="344" customFormat="false" ht="15" hidden="false" customHeight="true" outlineLevel="0" collapsed="false">
      <c r="B344" s="380" t="n">
        <v>45995</v>
      </c>
      <c r="C344" s="330" t="s">
        <v>620</v>
      </c>
      <c r="D344" s="362" t="s">
        <v>513</v>
      </c>
      <c r="E344" s="362" t="s">
        <v>539</v>
      </c>
      <c r="F344" s="363" t="n">
        <v>2693.75</v>
      </c>
      <c r="G344" s="364" t="s">
        <v>204</v>
      </c>
      <c r="H344" s="365" t="n">
        <v>45962</v>
      </c>
      <c r="J344" s="87" t="s">
        <v>274</v>
      </c>
      <c r="K344" s="126"/>
      <c r="L344" s="126"/>
      <c r="M344" s="127" t="n">
        <f aca="false">SUM(M345:M354)</f>
        <v>11080.37</v>
      </c>
    </row>
    <row r="345" customFormat="false" ht="15" hidden="false" customHeight="true" outlineLevel="0" collapsed="false">
      <c r="B345" s="379" t="n">
        <v>45996</v>
      </c>
      <c r="C345" s="332" t="s">
        <v>620</v>
      </c>
      <c r="D345" s="357" t="s">
        <v>589</v>
      </c>
      <c r="E345" s="357" t="s">
        <v>590</v>
      </c>
      <c r="F345" s="358" t="n">
        <v>190</v>
      </c>
      <c r="G345" s="359" t="s">
        <v>204</v>
      </c>
      <c r="H345" s="360" t="n">
        <v>45992</v>
      </c>
      <c r="J345" s="96" t="s">
        <v>275</v>
      </c>
      <c r="K345" s="96"/>
      <c r="L345" s="96"/>
      <c r="M345" s="99" t="n">
        <f aca="false">SUM(F347)</f>
        <v>1938.99</v>
      </c>
    </row>
    <row r="346" customFormat="false" ht="15" hidden="false" customHeight="true" outlineLevel="0" collapsed="false">
      <c r="B346" s="380" t="n">
        <v>45996</v>
      </c>
      <c r="C346" s="330" t="s">
        <v>620</v>
      </c>
      <c r="D346" s="362" t="s">
        <v>513</v>
      </c>
      <c r="E346" s="362" t="s">
        <v>514</v>
      </c>
      <c r="F346" s="363" t="n">
        <v>1592.99</v>
      </c>
      <c r="G346" s="364" t="s">
        <v>204</v>
      </c>
      <c r="H346" s="365" t="n">
        <v>45962</v>
      </c>
      <c r="J346" s="96" t="s">
        <v>276</v>
      </c>
      <c r="K346" s="96"/>
      <c r="L346" s="96"/>
      <c r="M346" s="99" t="n">
        <f aca="false">SUM(F355)</f>
        <v>32</v>
      </c>
    </row>
    <row r="347" customFormat="false" ht="15" hidden="false" customHeight="true" outlineLevel="0" collapsed="false">
      <c r="B347" s="379" t="n">
        <v>45996</v>
      </c>
      <c r="C347" s="332" t="s">
        <v>620</v>
      </c>
      <c r="D347" s="357" t="s">
        <v>516</v>
      </c>
      <c r="E347" s="357" t="s">
        <v>275</v>
      </c>
      <c r="F347" s="358" t="n">
        <v>1938.99</v>
      </c>
      <c r="G347" s="359" t="s">
        <v>204</v>
      </c>
      <c r="H347" s="360" t="n">
        <v>45962</v>
      </c>
      <c r="J347" s="96" t="s">
        <v>277</v>
      </c>
      <c r="K347" s="96"/>
      <c r="L347" s="96"/>
      <c r="M347" s="99"/>
    </row>
    <row r="348" customFormat="false" ht="15" hidden="false" customHeight="true" outlineLevel="0" collapsed="false">
      <c r="B348" s="380" t="n">
        <v>45996</v>
      </c>
      <c r="C348" s="330" t="s">
        <v>620</v>
      </c>
      <c r="D348" s="362" t="s">
        <v>585</v>
      </c>
      <c r="E348" s="362" t="s">
        <v>623</v>
      </c>
      <c r="F348" s="363" t="n">
        <v>930</v>
      </c>
      <c r="G348" s="364" t="s">
        <v>196</v>
      </c>
      <c r="H348" s="365" t="n">
        <v>45962</v>
      </c>
      <c r="J348" s="96" t="s">
        <v>278</v>
      </c>
      <c r="K348" s="96"/>
      <c r="L348" s="96"/>
      <c r="M348" s="99" t="n">
        <f aca="false">SUM(F353)</f>
        <v>249.15</v>
      </c>
    </row>
    <row r="349" customFormat="false" ht="15" hidden="false" customHeight="true" outlineLevel="0" collapsed="false">
      <c r="B349" s="379" t="n">
        <v>45996</v>
      </c>
      <c r="C349" s="332" t="s">
        <v>620</v>
      </c>
      <c r="D349" s="357" t="s">
        <v>519</v>
      </c>
      <c r="E349" s="357" t="s">
        <v>624</v>
      </c>
      <c r="F349" s="358" t="n">
        <v>500</v>
      </c>
      <c r="G349" s="359" t="s">
        <v>196</v>
      </c>
      <c r="H349" s="360" t="n">
        <v>45992</v>
      </c>
      <c r="J349" s="96" t="s">
        <v>279</v>
      </c>
      <c r="K349" s="96"/>
      <c r="L349" s="96"/>
      <c r="M349" s="99" t="n">
        <f aca="false">SUM(F334,F335,F345)</f>
        <v>507.2</v>
      </c>
    </row>
    <row r="350" customFormat="false" ht="15" hidden="false" customHeight="true" outlineLevel="0" collapsed="false">
      <c r="B350" s="380" t="n">
        <v>45997</v>
      </c>
      <c r="C350" s="330" t="s">
        <v>620</v>
      </c>
      <c r="D350" s="362" t="s">
        <v>519</v>
      </c>
      <c r="E350" s="362" t="s">
        <v>622</v>
      </c>
      <c r="F350" s="363" t="n">
        <v>250</v>
      </c>
      <c r="G350" s="364" t="s">
        <v>196</v>
      </c>
      <c r="H350" s="365" t="n">
        <v>45992</v>
      </c>
      <c r="J350" s="96" t="s">
        <v>280</v>
      </c>
      <c r="K350" s="96"/>
      <c r="L350" s="96"/>
      <c r="M350" s="99"/>
    </row>
    <row r="351" customFormat="false" ht="15" hidden="false" customHeight="true" outlineLevel="0" collapsed="false">
      <c r="B351" s="377" t="n">
        <v>45999</v>
      </c>
      <c r="C351" s="329" t="s">
        <v>620</v>
      </c>
      <c r="D351" s="347" t="s">
        <v>313</v>
      </c>
      <c r="E351" s="347" t="s">
        <v>601</v>
      </c>
      <c r="F351" s="348" t="n">
        <v>2250</v>
      </c>
      <c r="G351" s="349" t="s">
        <v>204</v>
      </c>
      <c r="H351" s="350" t="n">
        <v>45992</v>
      </c>
      <c r="J351" s="96" t="s">
        <v>281</v>
      </c>
      <c r="K351" s="96"/>
      <c r="L351" s="96"/>
      <c r="M351" s="99" t="n">
        <f aca="false">SUM(F344,F346)</f>
        <v>4286.74</v>
      </c>
    </row>
    <row r="352" customFormat="false" ht="15" hidden="false" customHeight="true" outlineLevel="0" collapsed="false">
      <c r="B352" s="378" t="n">
        <v>45999</v>
      </c>
      <c r="C352" s="333" t="s">
        <v>620</v>
      </c>
      <c r="D352" s="352" t="s">
        <v>313</v>
      </c>
      <c r="E352" s="352" t="s">
        <v>613</v>
      </c>
      <c r="F352" s="353" t="n">
        <v>1500</v>
      </c>
      <c r="G352" s="354" t="s">
        <v>196</v>
      </c>
      <c r="H352" s="355" t="n">
        <v>45992</v>
      </c>
      <c r="J352" s="96" t="s">
        <v>282</v>
      </c>
      <c r="K352" s="96"/>
      <c r="L352" s="96"/>
      <c r="M352" s="99" t="n">
        <f aca="false">SUM(F331,F332,F341,F348,F357)</f>
        <v>1868.45</v>
      </c>
    </row>
    <row r="353" customFormat="false" ht="15" hidden="false" customHeight="true" outlineLevel="0" collapsed="false">
      <c r="B353" s="379" t="n">
        <v>45999</v>
      </c>
      <c r="C353" s="332" t="s">
        <v>620</v>
      </c>
      <c r="D353" s="357" t="s">
        <v>516</v>
      </c>
      <c r="E353" s="357" t="s">
        <v>278</v>
      </c>
      <c r="F353" s="359" t="n">
        <f aca="false">86.94+39.99+122.22</f>
        <v>249.15</v>
      </c>
      <c r="G353" s="359" t="s">
        <v>196</v>
      </c>
      <c r="H353" s="360" t="n">
        <v>45992</v>
      </c>
      <c r="J353" s="96" t="s">
        <v>283</v>
      </c>
      <c r="K353" s="96"/>
      <c r="L353" s="96"/>
      <c r="M353" s="99"/>
    </row>
    <row r="354" customFormat="false" ht="15" hidden="false" customHeight="true" outlineLevel="0" collapsed="false">
      <c r="B354" s="378" t="n">
        <v>45999</v>
      </c>
      <c r="C354" s="333" t="s">
        <v>620</v>
      </c>
      <c r="D354" s="352" t="s">
        <v>313</v>
      </c>
      <c r="E354" s="352" t="s">
        <v>176</v>
      </c>
      <c r="F354" s="353" t="n">
        <v>3664</v>
      </c>
      <c r="G354" s="354" t="s">
        <v>196</v>
      </c>
      <c r="H354" s="355" t="n">
        <v>45962</v>
      </c>
      <c r="J354" s="96" t="s">
        <v>284</v>
      </c>
      <c r="K354" s="96"/>
      <c r="L354" s="96"/>
      <c r="M354" s="99" t="n">
        <f aca="false">SUM(F337,F340,F342,F343,F349,F350,F356)</f>
        <v>2197.84</v>
      </c>
    </row>
    <row r="355" customFormat="false" ht="15" hidden="false" customHeight="true" outlineLevel="0" collapsed="false">
      <c r="B355" s="379" t="n">
        <v>46000</v>
      </c>
      <c r="C355" s="332" t="s">
        <v>620</v>
      </c>
      <c r="D355" s="357" t="s">
        <v>516</v>
      </c>
      <c r="E355" s="357" t="s">
        <v>276</v>
      </c>
      <c r="F355" s="358" t="n">
        <v>32</v>
      </c>
      <c r="G355" s="359" t="s">
        <v>196</v>
      </c>
      <c r="H355" s="360" t="n">
        <v>45992</v>
      </c>
    </row>
    <row r="356" customFormat="false" ht="15" hidden="false" customHeight="true" outlineLevel="0" collapsed="false">
      <c r="B356" s="380" t="n">
        <v>46001</v>
      </c>
      <c r="C356" s="330" t="s">
        <v>620</v>
      </c>
      <c r="D356" s="362" t="s">
        <v>519</v>
      </c>
      <c r="E356" s="362" t="s">
        <v>624</v>
      </c>
      <c r="F356" s="363" t="n">
        <v>500</v>
      </c>
      <c r="G356" s="364" t="s">
        <v>196</v>
      </c>
      <c r="H356" s="365" t="n">
        <v>45992</v>
      </c>
    </row>
    <row r="357" customFormat="false" ht="15" hidden="false" customHeight="true" outlineLevel="0" collapsed="false">
      <c r="B357" s="359" t="s">
        <v>625</v>
      </c>
      <c r="C357" s="332" t="s">
        <v>620</v>
      </c>
      <c r="D357" s="357" t="s">
        <v>585</v>
      </c>
      <c r="E357" s="357" t="s">
        <v>623</v>
      </c>
      <c r="F357" s="358" t="n">
        <v>250</v>
      </c>
      <c r="G357" s="359" t="s">
        <v>196</v>
      </c>
      <c r="H357" s="360" t="n">
        <v>45992</v>
      </c>
    </row>
    <row r="358" customFormat="false" ht="15" hidden="false" customHeight="true" outlineLevel="0" collapsed="false">
      <c r="B358" s="381" t="n">
        <v>46002</v>
      </c>
      <c r="C358" s="373" t="s">
        <v>620</v>
      </c>
      <c r="F358" s="77"/>
      <c r="H358" s="77"/>
    </row>
    <row r="359" customFormat="false" ht="15" hidden="true" customHeight="true" outlineLevel="0" collapsed="false">
      <c r="B359" s="381"/>
      <c r="C359" s="373"/>
      <c r="F359" s="77"/>
      <c r="H359" s="77"/>
    </row>
    <row r="360" customFormat="false" ht="15" hidden="true" customHeight="true" outlineLevel="0" collapsed="false">
      <c r="B360" s="377" t="n">
        <v>45986</v>
      </c>
      <c r="C360" s="329" t="s">
        <v>611</v>
      </c>
      <c r="D360" s="347" t="s">
        <v>313</v>
      </c>
      <c r="E360" s="347" t="s">
        <v>191</v>
      </c>
      <c r="F360" s="348" t="n">
        <v>1350</v>
      </c>
      <c r="G360" s="347" t="s">
        <v>204</v>
      </c>
      <c r="H360" s="350" t="n">
        <v>45931</v>
      </c>
    </row>
    <row r="361" customFormat="false" ht="15" hidden="true" customHeight="true" outlineLevel="0" collapsed="false">
      <c r="B361" s="378" t="n">
        <v>45986</v>
      </c>
      <c r="C361" s="333" t="s">
        <v>611</v>
      </c>
      <c r="D361" s="352" t="s">
        <v>313</v>
      </c>
      <c r="E361" s="352" t="s">
        <v>64</v>
      </c>
      <c r="F361" s="353" t="n">
        <v>1900</v>
      </c>
      <c r="G361" s="352" t="s">
        <v>204</v>
      </c>
      <c r="H361" s="355" t="n">
        <v>45962</v>
      </c>
    </row>
    <row r="362" customFormat="false" ht="15" hidden="false" customHeight="true" outlineLevel="0" collapsed="false">
      <c r="B362" s="77"/>
      <c r="C362" s="77"/>
      <c r="F362" s="77"/>
      <c r="H362" s="77"/>
    </row>
    <row r="363" customFormat="false" ht="15" hidden="false" customHeight="true" outlineLevel="0" collapsed="false">
      <c r="B363" s="77"/>
      <c r="C363" s="77"/>
      <c r="F363" s="77"/>
      <c r="H363" s="77"/>
    </row>
    <row r="364" customFormat="false" ht="15" hidden="false" customHeight="true" outlineLevel="0" collapsed="false">
      <c r="B364" s="77"/>
      <c r="C364" s="77"/>
      <c r="F364" s="77"/>
      <c r="H364" s="77"/>
    </row>
    <row r="365" customFormat="false" ht="15" hidden="false" customHeight="true" outlineLevel="0" collapsed="false">
      <c r="B365" s="77"/>
      <c r="C365" s="77"/>
      <c r="F365" s="77"/>
      <c r="H365" s="77"/>
    </row>
    <row r="366" customFormat="false" ht="15" hidden="false" customHeight="true" outlineLevel="0" collapsed="false">
      <c r="B366" s="77"/>
      <c r="C366" s="77"/>
      <c r="F366" s="77"/>
      <c r="H366" s="77"/>
    </row>
    <row r="367" customFormat="false" ht="15" hidden="false" customHeight="true" outlineLevel="0" collapsed="false">
      <c r="B367" s="77"/>
      <c r="C367" s="77"/>
      <c r="F367" s="77"/>
      <c r="H367" s="77"/>
    </row>
    <row r="368" customFormat="false" ht="15" hidden="false" customHeight="true" outlineLevel="0" collapsed="false">
      <c r="B368" s="77"/>
      <c r="C368" s="77"/>
      <c r="F368" s="77"/>
      <c r="H368" s="77"/>
    </row>
    <row r="369" customFormat="false" ht="15" hidden="false" customHeight="true" outlineLevel="0" collapsed="false">
      <c r="B369" s="77"/>
      <c r="C369" s="77"/>
      <c r="F369" s="77"/>
      <c r="H369" s="77"/>
    </row>
    <row r="370" customFormat="false" ht="15" hidden="false" customHeight="true" outlineLevel="0" collapsed="false">
      <c r="B370" s="77"/>
      <c r="C370" s="77"/>
      <c r="F370" s="77"/>
      <c r="H370" s="77"/>
    </row>
    <row r="371" customFormat="false" ht="15" hidden="false" customHeight="true" outlineLevel="0" collapsed="false">
      <c r="B371" s="77"/>
      <c r="C371" s="77"/>
      <c r="F371" s="77"/>
      <c r="H371" s="77"/>
    </row>
    <row r="372" customFormat="false" ht="15" hidden="false" customHeight="true" outlineLevel="0" collapsed="false">
      <c r="B372" s="77"/>
      <c r="C372" s="77"/>
      <c r="F372" s="77"/>
      <c r="H372" s="77"/>
    </row>
    <row r="373" customFormat="false" ht="15" hidden="false" customHeight="true" outlineLevel="0" collapsed="false">
      <c r="B373" s="77"/>
      <c r="C373" s="77"/>
      <c r="F373" s="77"/>
      <c r="H373" s="77"/>
    </row>
    <row r="374" customFormat="false" ht="15" hidden="false" customHeight="true" outlineLevel="0" collapsed="false">
      <c r="B374" s="77"/>
      <c r="C374" s="77"/>
      <c r="F374" s="77"/>
      <c r="H374" s="77"/>
    </row>
    <row r="375" customFormat="false" ht="15" hidden="false" customHeight="true" outlineLevel="0" collapsed="false">
      <c r="B375" s="77"/>
      <c r="C375" s="77"/>
      <c r="F375" s="77"/>
      <c r="H375" s="77"/>
    </row>
    <row r="376" customFormat="false" ht="15" hidden="false" customHeight="true" outlineLevel="0" collapsed="false">
      <c r="B376" s="77"/>
      <c r="C376" s="77"/>
      <c r="F376" s="77"/>
      <c r="H376" s="77"/>
    </row>
    <row r="377" customFormat="false" ht="15" hidden="false" customHeight="true" outlineLevel="0" collapsed="false">
      <c r="B377" s="77"/>
      <c r="C377" s="77"/>
      <c r="F377" s="77"/>
      <c r="H377" s="77"/>
    </row>
    <row r="378" customFormat="false" ht="15" hidden="false" customHeight="true" outlineLevel="0" collapsed="false">
      <c r="B378" s="77"/>
      <c r="C378" s="77"/>
      <c r="F378" s="77"/>
      <c r="H378" s="77"/>
    </row>
    <row r="379" customFormat="false" ht="15" hidden="false" customHeight="true" outlineLevel="0" collapsed="false">
      <c r="B379" s="77"/>
      <c r="C379" s="77"/>
      <c r="F379" s="77"/>
      <c r="H379" s="77"/>
    </row>
    <row r="380" customFormat="false" ht="15" hidden="false" customHeight="true" outlineLevel="0" collapsed="false">
      <c r="B380" s="77"/>
      <c r="C380" s="77"/>
      <c r="F380" s="77"/>
      <c r="H380" s="77"/>
    </row>
    <row r="381" customFormat="false" ht="15" hidden="false" customHeight="true" outlineLevel="0" collapsed="false">
      <c r="B381" s="77"/>
      <c r="C381" s="77"/>
      <c r="F381" s="77"/>
      <c r="H381" s="77"/>
    </row>
    <row r="382" customFormat="false" ht="15" hidden="false" customHeight="true" outlineLevel="0" collapsed="false">
      <c r="B382" s="77"/>
      <c r="C382" s="77"/>
      <c r="F382" s="77"/>
      <c r="H382" s="77"/>
    </row>
    <row r="383" customFormat="false" ht="15" hidden="false" customHeight="true" outlineLevel="0" collapsed="false">
      <c r="B383" s="77"/>
      <c r="C383" s="77"/>
      <c r="F383" s="77"/>
      <c r="H383" s="77"/>
    </row>
    <row r="384" customFormat="false" ht="15" hidden="false" customHeight="true" outlineLevel="0" collapsed="false">
      <c r="B384" s="77"/>
      <c r="C384" s="77"/>
      <c r="F384" s="77"/>
      <c r="H384" s="77"/>
    </row>
    <row r="385" customFormat="false" ht="15" hidden="false" customHeight="true" outlineLevel="0" collapsed="false">
      <c r="B385" s="77"/>
      <c r="C385" s="77"/>
      <c r="F385" s="77"/>
      <c r="H385" s="77"/>
    </row>
    <row r="386" customFormat="false" ht="15" hidden="false" customHeight="true" outlineLevel="0" collapsed="false">
      <c r="B386" s="77"/>
      <c r="C386" s="77"/>
      <c r="F386" s="77"/>
      <c r="H386" s="77"/>
    </row>
    <row r="387" customFormat="false" ht="15" hidden="false" customHeight="true" outlineLevel="0" collapsed="false">
      <c r="B387" s="77"/>
      <c r="C387" s="77"/>
      <c r="F387" s="77"/>
      <c r="H387" s="77"/>
    </row>
    <row r="388" customFormat="false" ht="15" hidden="false" customHeight="true" outlineLevel="0" collapsed="false">
      <c r="B388" s="77"/>
      <c r="C388" s="77"/>
      <c r="F388" s="77"/>
      <c r="H388" s="77"/>
    </row>
    <row r="389" customFormat="false" ht="15" hidden="false" customHeight="true" outlineLevel="0" collapsed="false">
      <c r="B389" s="77"/>
      <c r="C389" s="77"/>
      <c r="F389" s="77"/>
      <c r="H389" s="77"/>
    </row>
    <row r="390" customFormat="false" ht="15" hidden="false" customHeight="true" outlineLevel="0" collapsed="false">
      <c r="B390" s="77"/>
      <c r="C390" s="77"/>
      <c r="F390" s="77"/>
      <c r="H390" s="77"/>
    </row>
    <row r="391" customFormat="false" ht="15" hidden="false" customHeight="true" outlineLevel="0" collapsed="false">
      <c r="B391" s="77"/>
      <c r="C391" s="77"/>
      <c r="F391" s="77"/>
      <c r="H391" s="77"/>
    </row>
    <row r="392" customFormat="false" ht="15" hidden="false" customHeight="true" outlineLevel="0" collapsed="false">
      <c r="B392" s="77"/>
      <c r="C392" s="77"/>
      <c r="F392" s="77"/>
      <c r="H392" s="77"/>
    </row>
    <row r="393" customFormat="false" ht="15" hidden="false" customHeight="true" outlineLevel="0" collapsed="false">
      <c r="B393" s="77"/>
      <c r="C393" s="77"/>
      <c r="F393" s="77"/>
      <c r="H393" s="77"/>
    </row>
    <row r="394" customFormat="false" ht="15" hidden="false" customHeight="true" outlineLevel="0" collapsed="false">
      <c r="B394" s="77"/>
      <c r="C394" s="77"/>
      <c r="F394" s="77"/>
      <c r="H394" s="77"/>
    </row>
    <row r="395" customFormat="false" ht="15" hidden="false" customHeight="true" outlineLevel="0" collapsed="false">
      <c r="B395" s="77"/>
      <c r="C395" s="77"/>
      <c r="F395" s="77"/>
      <c r="H395" s="77"/>
    </row>
    <row r="396" customFormat="false" ht="15" hidden="false" customHeight="true" outlineLevel="0" collapsed="false">
      <c r="B396" s="77"/>
      <c r="C396" s="77"/>
      <c r="F396" s="77"/>
      <c r="H396" s="77"/>
    </row>
    <row r="397" customFormat="false" ht="15" hidden="false" customHeight="true" outlineLevel="0" collapsed="false">
      <c r="B397" s="77"/>
      <c r="C397" s="77"/>
      <c r="F397" s="77"/>
      <c r="H397" s="77"/>
    </row>
    <row r="398" customFormat="false" ht="15" hidden="false" customHeight="true" outlineLevel="0" collapsed="false">
      <c r="B398" s="77"/>
      <c r="C398" s="77"/>
      <c r="F398" s="77"/>
      <c r="H398" s="77"/>
    </row>
    <row r="399" customFormat="false" ht="15" hidden="false" customHeight="true" outlineLevel="0" collapsed="false">
      <c r="B399" s="77"/>
      <c r="C399" s="77"/>
      <c r="F399" s="77"/>
      <c r="H399" s="77"/>
    </row>
    <row r="400" customFormat="false" ht="15" hidden="false" customHeight="true" outlineLevel="0" collapsed="false">
      <c r="B400" s="77"/>
      <c r="C400" s="77"/>
      <c r="F400" s="77"/>
      <c r="H400" s="77"/>
    </row>
    <row r="401" customFormat="false" ht="15" hidden="false" customHeight="true" outlineLevel="0" collapsed="false">
      <c r="B401" s="77"/>
      <c r="C401" s="77"/>
      <c r="F401" s="77"/>
      <c r="H401" s="77"/>
    </row>
    <row r="402" customFormat="false" ht="15" hidden="false" customHeight="true" outlineLevel="0" collapsed="false">
      <c r="B402" s="77"/>
      <c r="C402" s="77"/>
      <c r="F402" s="77"/>
      <c r="H402" s="77"/>
    </row>
    <row r="403" customFormat="false" ht="15" hidden="false" customHeight="true" outlineLevel="0" collapsed="false">
      <c r="B403" s="77"/>
      <c r="C403" s="77"/>
      <c r="F403" s="77"/>
      <c r="H403" s="77"/>
    </row>
    <row r="404" customFormat="false" ht="15" hidden="false" customHeight="true" outlineLevel="0" collapsed="false">
      <c r="B404" s="77"/>
      <c r="C404" s="77"/>
      <c r="F404" s="77"/>
      <c r="H404" s="77"/>
    </row>
    <row r="405" customFormat="false" ht="15" hidden="false" customHeight="true" outlineLevel="0" collapsed="false">
      <c r="B405" s="77"/>
      <c r="C405" s="77"/>
      <c r="F405" s="77"/>
      <c r="H405" s="77"/>
    </row>
    <row r="406" customFormat="false" ht="15" hidden="false" customHeight="true" outlineLevel="0" collapsed="false">
      <c r="B406" s="77"/>
      <c r="C406" s="77"/>
      <c r="F406" s="77"/>
      <c r="H406" s="77"/>
    </row>
    <row r="407" customFormat="false" ht="15" hidden="false" customHeight="true" outlineLevel="0" collapsed="false">
      <c r="B407" s="77"/>
      <c r="C407" s="77"/>
      <c r="F407" s="77"/>
      <c r="H407" s="77"/>
    </row>
    <row r="408" customFormat="false" ht="15" hidden="false" customHeight="true" outlineLevel="0" collapsed="false">
      <c r="B408" s="77"/>
      <c r="C408" s="77"/>
      <c r="F408" s="77"/>
      <c r="H408" s="77"/>
    </row>
    <row r="409" customFormat="false" ht="15" hidden="false" customHeight="true" outlineLevel="0" collapsed="false">
      <c r="B409" s="77"/>
      <c r="C409" s="77"/>
      <c r="F409" s="77"/>
      <c r="H409" s="77"/>
    </row>
    <row r="410" customFormat="false" ht="15" hidden="false" customHeight="true" outlineLevel="0" collapsed="false">
      <c r="B410" s="77"/>
      <c r="C410" s="77"/>
      <c r="F410" s="77"/>
      <c r="H410" s="77"/>
    </row>
    <row r="411" customFormat="false" ht="15" hidden="false" customHeight="true" outlineLevel="0" collapsed="false">
      <c r="B411" s="77"/>
      <c r="C411" s="77"/>
      <c r="F411" s="77"/>
      <c r="H411" s="77"/>
    </row>
    <row r="412" customFormat="false" ht="15" hidden="false" customHeight="true" outlineLevel="0" collapsed="false">
      <c r="B412" s="77"/>
      <c r="C412" s="77"/>
      <c r="F412" s="77"/>
      <c r="H412" s="77"/>
    </row>
    <row r="413" customFormat="false" ht="15" hidden="false" customHeight="true" outlineLevel="0" collapsed="false">
      <c r="B413" s="77"/>
      <c r="C413" s="77"/>
      <c r="F413" s="77"/>
      <c r="H413" s="77"/>
    </row>
    <row r="414" customFormat="false" ht="15" hidden="false" customHeight="true" outlineLevel="0" collapsed="false">
      <c r="B414" s="77"/>
      <c r="C414" s="77"/>
      <c r="F414" s="77"/>
      <c r="H414" s="77"/>
    </row>
    <row r="415" customFormat="false" ht="15" hidden="false" customHeight="true" outlineLevel="0" collapsed="false">
      <c r="B415" s="77"/>
      <c r="C415" s="77"/>
      <c r="F415" s="77"/>
      <c r="H415" s="77"/>
    </row>
    <row r="416" customFormat="false" ht="15" hidden="false" customHeight="true" outlineLevel="0" collapsed="false">
      <c r="B416" s="77"/>
      <c r="C416" s="77"/>
      <c r="F416" s="77"/>
      <c r="H416" s="77"/>
    </row>
    <row r="417" customFormat="false" ht="15" hidden="false" customHeight="true" outlineLevel="0" collapsed="false">
      <c r="B417" s="77"/>
      <c r="C417" s="77"/>
      <c r="F417" s="77"/>
      <c r="H417" s="77"/>
    </row>
    <row r="418" customFormat="false" ht="15" hidden="false" customHeight="true" outlineLevel="0" collapsed="false">
      <c r="B418" s="77"/>
      <c r="C418" s="77"/>
      <c r="F418" s="77"/>
      <c r="H418" s="77"/>
    </row>
    <row r="419" customFormat="false" ht="15" hidden="false" customHeight="true" outlineLevel="0" collapsed="false">
      <c r="B419" s="77"/>
      <c r="C419" s="77"/>
      <c r="F419" s="77"/>
      <c r="H419" s="77"/>
    </row>
    <row r="420" customFormat="false" ht="15" hidden="false" customHeight="true" outlineLevel="0" collapsed="false">
      <c r="B420" s="77"/>
      <c r="C420" s="77"/>
      <c r="F420" s="77"/>
      <c r="H420" s="77"/>
    </row>
    <row r="421" customFormat="false" ht="15" hidden="false" customHeight="true" outlineLevel="0" collapsed="false">
      <c r="B421" s="77"/>
      <c r="C421" s="77"/>
      <c r="F421" s="77"/>
      <c r="H421" s="77"/>
    </row>
    <row r="422" customFormat="false" ht="15" hidden="false" customHeight="true" outlineLevel="0" collapsed="false">
      <c r="B422" s="77"/>
      <c r="C422" s="77"/>
      <c r="F422" s="77"/>
      <c r="H422" s="77"/>
    </row>
    <row r="423" customFormat="false" ht="15" hidden="false" customHeight="true" outlineLevel="0" collapsed="false">
      <c r="B423" s="77"/>
      <c r="C423" s="77"/>
      <c r="F423" s="77"/>
      <c r="H423" s="77"/>
    </row>
    <row r="424" customFormat="false" ht="15" hidden="false" customHeight="true" outlineLevel="0" collapsed="false">
      <c r="B424" s="77"/>
      <c r="C424" s="77"/>
      <c r="F424" s="77"/>
      <c r="H424" s="77"/>
    </row>
    <row r="425" customFormat="false" ht="15" hidden="false" customHeight="true" outlineLevel="0" collapsed="false">
      <c r="B425" s="77"/>
      <c r="C425" s="77"/>
      <c r="F425" s="77"/>
      <c r="H425" s="77"/>
    </row>
    <row r="426" customFormat="false" ht="15" hidden="false" customHeight="true" outlineLevel="0" collapsed="false">
      <c r="B426" s="77"/>
      <c r="C426" s="77"/>
      <c r="F426" s="77"/>
      <c r="H426" s="77"/>
    </row>
    <row r="427" customFormat="false" ht="15" hidden="false" customHeight="true" outlineLevel="0" collapsed="false">
      <c r="B427" s="77"/>
      <c r="C427" s="77"/>
      <c r="F427" s="77"/>
      <c r="H427" s="77"/>
    </row>
    <row r="428" customFormat="false" ht="15" hidden="false" customHeight="true" outlineLevel="0" collapsed="false">
      <c r="B428" s="77"/>
      <c r="C428" s="77"/>
      <c r="F428" s="77"/>
      <c r="H428" s="77"/>
    </row>
    <row r="429" customFormat="false" ht="15" hidden="false" customHeight="true" outlineLevel="0" collapsed="false">
      <c r="B429" s="77"/>
      <c r="C429" s="77"/>
      <c r="F429" s="77"/>
      <c r="H429" s="77"/>
    </row>
    <row r="430" customFormat="false" ht="15" hidden="false" customHeight="true" outlineLevel="0" collapsed="false">
      <c r="B430" s="77"/>
      <c r="C430" s="77"/>
      <c r="F430" s="77"/>
      <c r="H430" s="77"/>
    </row>
    <row r="431" customFormat="false" ht="15" hidden="false" customHeight="true" outlineLevel="0" collapsed="false">
      <c r="B431" s="77"/>
      <c r="C431" s="77"/>
      <c r="F431" s="77"/>
      <c r="H431" s="77"/>
    </row>
    <row r="432" customFormat="false" ht="15" hidden="false" customHeight="true" outlineLevel="0" collapsed="false">
      <c r="B432" s="77"/>
      <c r="C432" s="77"/>
      <c r="F432" s="77"/>
      <c r="H432" s="77"/>
    </row>
    <row r="433" customFormat="false" ht="15" hidden="false" customHeight="true" outlineLevel="0" collapsed="false">
      <c r="B433" s="77"/>
      <c r="C433" s="77"/>
      <c r="F433" s="77"/>
      <c r="H433" s="77"/>
    </row>
    <row r="434" customFormat="false" ht="15" hidden="false" customHeight="true" outlineLevel="0" collapsed="false">
      <c r="B434" s="77"/>
      <c r="C434" s="77"/>
      <c r="F434" s="77"/>
      <c r="H434" s="77"/>
    </row>
    <row r="435" customFormat="false" ht="15" hidden="false" customHeight="true" outlineLevel="0" collapsed="false">
      <c r="B435" s="77"/>
      <c r="C435" s="77"/>
      <c r="F435" s="77"/>
      <c r="H435" s="77"/>
    </row>
    <row r="436" customFormat="false" ht="15" hidden="false" customHeight="true" outlineLevel="0" collapsed="false">
      <c r="B436" s="77"/>
      <c r="C436" s="77"/>
      <c r="F436" s="77"/>
      <c r="H436" s="77"/>
    </row>
    <row r="437" customFormat="false" ht="15" hidden="false" customHeight="true" outlineLevel="0" collapsed="false">
      <c r="B437" s="77"/>
      <c r="C437" s="77"/>
      <c r="F437" s="77"/>
      <c r="H437" s="77"/>
    </row>
    <row r="438" customFormat="false" ht="15" hidden="false" customHeight="true" outlineLevel="0" collapsed="false">
      <c r="B438" s="77"/>
      <c r="C438" s="77"/>
      <c r="F438" s="77"/>
      <c r="H438" s="77"/>
    </row>
    <row r="439" customFormat="false" ht="15" hidden="false" customHeight="true" outlineLevel="0" collapsed="false">
      <c r="B439" s="77"/>
      <c r="C439" s="77"/>
      <c r="F439" s="77"/>
      <c r="H439" s="77"/>
    </row>
    <row r="440" customFormat="false" ht="15" hidden="false" customHeight="true" outlineLevel="0" collapsed="false">
      <c r="B440" s="77"/>
      <c r="C440" s="77"/>
      <c r="F440" s="77"/>
      <c r="H440" s="77"/>
    </row>
    <row r="441" customFormat="false" ht="15" hidden="false" customHeight="true" outlineLevel="0" collapsed="false">
      <c r="B441" s="77"/>
      <c r="C441" s="77"/>
      <c r="F441" s="77"/>
      <c r="H441" s="77"/>
    </row>
    <row r="442" customFormat="false" ht="15" hidden="false" customHeight="true" outlineLevel="0" collapsed="false">
      <c r="B442" s="77"/>
      <c r="C442" s="77"/>
      <c r="F442" s="77"/>
      <c r="H442" s="77"/>
    </row>
    <row r="443" customFormat="false" ht="15" hidden="false" customHeight="true" outlineLevel="0" collapsed="false">
      <c r="B443" s="77"/>
      <c r="C443" s="77"/>
      <c r="F443" s="77"/>
      <c r="H443" s="77"/>
    </row>
    <row r="444" customFormat="false" ht="15" hidden="false" customHeight="true" outlineLevel="0" collapsed="false">
      <c r="B444" s="77"/>
      <c r="C444" s="77"/>
      <c r="F444" s="77"/>
      <c r="H444" s="77"/>
    </row>
    <row r="445" customFormat="false" ht="15" hidden="false" customHeight="true" outlineLevel="0" collapsed="false">
      <c r="B445" s="77"/>
      <c r="C445" s="77"/>
      <c r="F445" s="77"/>
      <c r="H445" s="77"/>
    </row>
    <row r="446" customFormat="false" ht="15" hidden="false" customHeight="true" outlineLevel="0" collapsed="false">
      <c r="B446" s="77"/>
      <c r="C446" s="77"/>
      <c r="F446" s="77"/>
      <c r="H446" s="77"/>
    </row>
    <row r="447" customFormat="false" ht="15" hidden="false" customHeight="true" outlineLevel="0" collapsed="false">
      <c r="B447" s="77"/>
      <c r="C447" s="77"/>
      <c r="F447" s="77"/>
      <c r="H447" s="77"/>
    </row>
    <row r="448" customFormat="false" ht="15" hidden="false" customHeight="true" outlineLevel="0" collapsed="false">
      <c r="B448" s="77"/>
      <c r="C448" s="77"/>
      <c r="F448" s="77"/>
      <c r="H448" s="77"/>
    </row>
    <row r="449" customFormat="false" ht="15" hidden="false" customHeight="true" outlineLevel="0" collapsed="false">
      <c r="B449" s="77"/>
      <c r="C449" s="77"/>
      <c r="F449" s="77"/>
      <c r="H449" s="77"/>
    </row>
    <row r="450" customFormat="false" ht="15" hidden="false" customHeight="true" outlineLevel="0" collapsed="false">
      <c r="B450" s="77"/>
      <c r="C450" s="77"/>
      <c r="F450" s="77"/>
      <c r="H450" s="77"/>
    </row>
    <row r="451" customFormat="false" ht="15" hidden="false" customHeight="true" outlineLevel="0" collapsed="false">
      <c r="B451" s="77"/>
      <c r="C451" s="77"/>
      <c r="F451" s="77"/>
      <c r="H451" s="77"/>
    </row>
    <row r="452" customFormat="false" ht="15" hidden="false" customHeight="true" outlineLevel="0" collapsed="false">
      <c r="B452" s="77"/>
      <c r="C452" s="77"/>
      <c r="F452" s="77"/>
      <c r="H452" s="77"/>
    </row>
    <row r="453" customFormat="false" ht="15" hidden="false" customHeight="true" outlineLevel="0" collapsed="false">
      <c r="B453" s="77"/>
      <c r="C453" s="77"/>
      <c r="F453" s="77"/>
      <c r="H453" s="77"/>
    </row>
    <row r="454" customFormat="false" ht="15" hidden="false" customHeight="true" outlineLevel="0" collapsed="false">
      <c r="B454" s="77"/>
      <c r="C454" s="77"/>
      <c r="F454" s="77"/>
      <c r="H454" s="77"/>
    </row>
    <row r="455" customFormat="false" ht="15" hidden="false" customHeight="true" outlineLevel="0" collapsed="false">
      <c r="B455" s="77"/>
      <c r="C455" s="77"/>
      <c r="F455" s="77"/>
      <c r="H455" s="77"/>
    </row>
    <row r="456" customFormat="false" ht="15" hidden="false" customHeight="true" outlineLevel="0" collapsed="false">
      <c r="B456" s="77"/>
      <c r="C456" s="77"/>
      <c r="F456" s="77"/>
      <c r="H456" s="77"/>
    </row>
    <row r="457" customFormat="false" ht="15" hidden="false" customHeight="true" outlineLevel="0" collapsed="false">
      <c r="B457" s="77"/>
      <c r="C457" s="77"/>
      <c r="F457" s="77"/>
      <c r="H457" s="77"/>
    </row>
    <row r="458" customFormat="false" ht="15" hidden="false" customHeight="true" outlineLevel="0" collapsed="false">
      <c r="B458" s="77"/>
      <c r="C458" s="77"/>
      <c r="F458" s="77"/>
      <c r="H458" s="77"/>
    </row>
    <row r="459" customFormat="false" ht="15" hidden="false" customHeight="true" outlineLevel="0" collapsed="false">
      <c r="B459" s="77"/>
      <c r="C459" s="77"/>
      <c r="F459" s="77"/>
      <c r="H459" s="77"/>
    </row>
    <row r="460" customFormat="false" ht="15" hidden="false" customHeight="true" outlineLevel="0" collapsed="false">
      <c r="B460" s="77"/>
      <c r="C460" s="77"/>
      <c r="F460" s="77"/>
      <c r="H460" s="77"/>
    </row>
    <row r="461" customFormat="false" ht="15" hidden="false" customHeight="true" outlineLevel="0" collapsed="false">
      <c r="B461" s="77"/>
      <c r="C461" s="77"/>
      <c r="F461" s="77"/>
      <c r="H461" s="77"/>
    </row>
    <row r="462" customFormat="false" ht="15" hidden="false" customHeight="true" outlineLevel="0" collapsed="false">
      <c r="B462" s="77"/>
      <c r="C462" s="77"/>
      <c r="F462" s="77"/>
      <c r="H462" s="77"/>
    </row>
    <row r="463" customFormat="false" ht="15" hidden="false" customHeight="true" outlineLevel="0" collapsed="false">
      <c r="B463" s="77"/>
      <c r="C463" s="77"/>
      <c r="F463" s="77"/>
      <c r="H463" s="77"/>
    </row>
    <row r="464" customFormat="false" ht="15" hidden="false" customHeight="true" outlineLevel="0" collapsed="false">
      <c r="B464" s="77"/>
      <c r="C464" s="77"/>
      <c r="F464" s="77"/>
      <c r="H464" s="77"/>
    </row>
    <row r="465" customFormat="false" ht="15" hidden="false" customHeight="true" outlineLevel="0" collapsed="false">
      <c r="B465" s="77"/>
      <c r="C465" s="77"/>
      <c r="F465" s="77"/>
      <c r="H465" s="77"/>
    </row>
    <row r="466" customFormat="false" ht="15" hidden="false" customHeight="true" outlineLevel="0" collapsed="false">
      <c r="B466" s="77"/>
      <c r="C466" s="77"/>
      <c r="F466" s="77"/>
      <c r="H466" s="77"/>
    </row>
    <row r="467" customFormat="false" ht="15" hidden="false" customHeight="true" outlineLevel="0" collapsed="false">
      <c r="B467" s="77"/>
      <c r="C467" s="77"/>
      <c r="F467" s="77"/>
      <c r="H467" s="77"/>
    </row>
    <row r="468" customFormat="false" ht="15" hidden="false" customHeight="true" outlineLevel="0" collapsed="false">
      <c r="B468" s="77"/>
      <c r="C468" s="77"/>
      <c r="F468" s="77"/>
      <c r="H468" s="77"/>
    </row>
    <row r="469" customFormat="false" ht="15" hidden="false" customHeight="true" outlineLevel="0" collapsed="false">
      <c r="B469" s="77"/>
      <c r="C469" s="77"/>
      <c r="F469" s="77"/>
      <c r="H469" s="77"/>
    </row>
    <row r="470" customFormat="false" ht="15" hidden="false" customHeight="true" outlineLevel="0" collapsed="false">
      <c r="B470" s="77"/>
      <c r="C470" s="77"/>
      <c r="F470" s="77"/>
      <c r="H470" s="77"/>
    </row>
    <row r="471" customFormat="false" ht="15" hidden="false" customHeight="true" outlineLevel="0" collapsed="false">
      <c r="B471" s="77"/>
      <c r="C471" s="77"/>
      <c r="F471" s="77"/>
      <c r="H471" s="77"/>
    </row>
    <row r="472" customFormat="false" ht="15" hidden="false" customHeight="true" outlineLevel="0" collapsed="false">
      <c r="B472" s="77"/>
      <c r="C472" s="77"/>
      <c r="F472" s="77"/>
      <c r="H472" s="77"/>
    </row>
    <row r="473" customFormat="false" ht="15" hidden="false" customHeight="true" outlineLevel="0" collapsed="false">
      <c r="B473" s="77"/>
      <c r="C473" s="77"/>
      <c r="F473" s="77"/>
      <c r="H473" s="77"/>
    </row>
    <row r="474" customFormat="false" ht="15" hidden="false" customHeight="true" outlineLevel="0" collapsed="false">
      <c r="B474" s="77"/>
      <c r="C474" s="77"/>
      <c r="F474" s="77"/>
      <c r="H474" s="77"/>
    </row>
    <row r="475" customFormat="false" ht="15" hidden="false" customHeight="true" outlineLevel="0" collapsed="false">
      <c r="B475" s="77"/>
      <c r="C475" s="77"/>
      <c r="F475" s="77"/>
      <c r="H475" s="77"/>
    </row>
    <row r="476" customFormat="false" ht="15" hidden="false" customHeight="true" outlineLevel="0" collapsed="false">
      <c r="B476" s="77"/>
      <c r="C476" s="77"/>
      <c r="F476" s="77"/>
      <c r="H476" s="77"/>
    </row>
    <row r="477" customFormat="false" ht="15" hidden="false" customHeight="true" outlineLevel="0" collapsed="false">
      <c r="B477" s="77"/>
      <c r="C477" s="77"/>
      <c r="F477" s="77"/>
      <c r="H477" s="77"/>
    </row>
    <row r="478" customFormat="false" ht="15" hidden="false" customHeight="true" outlineLevel="0" collapsed="false">
      <c r="B478" s="77"/>
      <c r="C478" s="77"/>
      <c r="F478" s="77"/>
      <c r="H478" s="77"/>
    </row>
    <row r="479" customFormat="false" ht="15" hidden="false" customHeight="true" outlineLevel="0" collapsed="false">
      <c r="B479" s="77"/>
      <c r="C479" s="77"/>
      <c r="F479" s="77"/>
      <c r="H479" s="77"/>
    </row>
    <row r="480" customFormat="false" ht="15" hidden="false" customHeight="true" outlineLevel="0" collapsed="false">
      <c r="B480" s="77"/>
      <c r="C480" s="77"/>
      <c r="F480" s="77"/>
      <c r="H480" s="77"/>
    </row>
    <row r="481" customFormat="false" ht="15" hidden="false" customHeight="true" outlineLevel="0" collapsed="false">
      <c r="B481" s="77"/>
      <c r="C481" s="77"/>
      <c r="F481" s="77"/>
      <c r="H481" s="77"/>
    </row>
    <row r="482" customFormat="false" ht="15" hidden="false" customHeight="true" outlineLevel="0" collapsed="false">
      <c r="B482" s="77"/>
      <c r="C482" s="77"/>
      <c r="F482" s="77"/>
      <c r="H482" s="77"/>
    </row>
    <row r="483" customFormat="false" ht="15" hidden="false" customHeight="true" outlineLevel="0" collapsed="false">
      <c r="B483" s="77"/>
      <c r="C483" s="77"/>
      <c r="F483" s="77"/>
      <c r="H483" s="77"/>
    </row>
    <row r="484" customFormat="false" ht="15" hidden="false" customHeight="true" outlineLevel="0" collapsed="false">
      <c r="B484" s="77"/>
      <c r="C484" s="77"/>
      <c r="F484" s="77"/>
      <c r="H484" s="77"/>
    </row>
    <row r="485" customFormat="false" ht="15" hidden="false" customHeight="true" outlineLevel="0" collapsed="false">
      <c r="B485" s="77"/>
      <c r="C485" s="77"/>
      <c r="F485" s="77"/>
      <c r="H485" s="77"/>
    </row>
    <row r="486" customFormat="false" ht="15" hidden="false" customHeight="true" outlineLevel="0" collapsed="false">
      <c r="B486" s="77"/>
      <c r="C486" s="77"/>
      <c r="F486" s="77"/>
      <c r="H486" s="77"/>
    </row>
    <row r="487" customFormat="false" ht="15" hidden="false" customHeight="true" outlineLevel="0" collapsed="false">
      <c r="B487" s="77"/>
      <c r="C487" s="77"/>
      <c r="F487" s="77"/>
      <c r="H487" s="77"/>
    </row>
    <row r="488" customFormat="false" ht="15" hidden="false" customHeight="true" outlineLevel="0" collapsed="false">
      <c r="B488" s="77"/>
      <c r="C488" s="77"/>
      <c r="F488" s="77"/>
      <c r="H488" s="77"/>
    </row>
    <row r="489" customFormat="false" ht="15" hidden="false" customHeight="true" outlineLevel="0" collapsed="false">
      <c r="B489" s="77"/>
      <c r="C489" s="77"/>
      <c r="F489" s="77"/>
      <c r="H489" s="77"/>
    </row>
    <row r="490" customFormat="false" ht="15" hidden="false" customHeight="true" outlineLevel="0" collapsed="false">
      <c r="B490" s="77"/>
      <c r="C490" s="77"/>
      <c r="F490" s="77"/>
      <c r="H490" s="77"/>
    </row>
    <row r="491" customFormat="false" ht="15" hidden="false" customHeight="true" outlineLevel="0" collapsed="false">
      <c r="B491" s="77"/>
      <c r="C491" s="77"/>
      <c r="F491" s="77"/>
      <c r="H491" s="77"/>
    </row>
    <row r="492" customFormat="false" ht="15" hidden="false" customHeight="true" outlineLevel="0" collapsed="false">
      <c r="B492" s="77"/>
      <c r="C492" s="77"/>
      <c r="F492" s="77"/>
      <c r="H492" s="77"/>
    </row>
    <row r="493" customFormat="false" ht="15" hidden="false" customHeight="true" outlineLevel="0" collapsed="false">
      <c r="B493" s="77"/>
      <c r="C493" s="77"/>
      <c r="F493" s="77"/>
      <c r="H493" s="77"/>
    </row>
    <row r="494" customFormat="false" ht="15" hidden="false" customHeight="true" outlineLevel="0" collapsed="false">
      <c r="B494" s="77"/>
      <c r="C494" s="77"/>
      <c r="F494" s="77"/>
      <c r="H494" s="77"/>
    </row>
    <row r="495" customFormat="false" ht="15" hidden="false" customHeight="true" outlineLevel="0" collapsed="false">
      <c r="B495" s="77"/>
      <c r="C495" s="77"/>
      <c r="H495" s="77"/>
    </row>
    <row r="496" customFormat="false" ht="15" hidden="false" customHeight="true" outlineLevel="0" collapsed="false">
      <c r="B496" s="77"/>
      <c r="C496" s="77"/>
      <c r="H496" s="77"/>
    </row>
    <row r="497" customFormat="false" ht="15" hidden="false" customHeight="true" outlineLevel="0" collapsed="false">
      <c r="B497" s="77"/>
      <c r="C497" s="77"/>
      <c r="H497" s="77"/>
    </row>
    <row r="498" customFormat="false" ht="15" hidden="false" customHeight="true" outlineLevel="0" collapsed="false">
      <c r="B498" s="77"/>
      <c r="C498" s="77"/>
      <c r="H498" s="77"/>
    </row>
    <row r="499" customFormat="false" ht="15" hidden="false" customHeight="true" outlineLevel="0" collapsed="false">
      <c r="B499" s="77"/>
      <c r="C499" s="77"/>
    </row>
    <row r="500" customFormat="false" ht="15" hidden="false" customHeight="true" outlineLevel="0" collapsed="false">
      <c r="B500" s="77"/>
      <c r="C500" s="77"/>
    </row>
  </sheetData>
  <mergeCells count="3">
    <mergeCell ref="B4:H4"/>
    <mergeCell ref="J4:P4"/>
    <mergeCell ref="J19:M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194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2026-03-18T18:21:03Z</dcterms:created>
  <dc:creator>openpyxl</dc:creator>
  <dc:description/>
  <dc:language>pt-BR</dc:language>
  <cp:lastModifiedBy/>
  <dcterms:modified xsi:type="dcterms:W3CDTF">2026-03-19T17:08:21Z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